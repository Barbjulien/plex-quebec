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ulienberube/Documents/CRE Models/"/>
    </mc:Choice>
  </mc:AlternateContent>
  <xr:revisionPtr revIDLastSave="0" documentId="8_{183750FB-1E13-FA41-A20E-5DFD789D0074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Underwriting" sheetId="1" r:id="rId1"/>
    <sheet name="Règles SCHL" sheetId="2" r:id="rId2"/>
    <sheet name="Notes &amp; Hypothè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5" i="1" l="1"/>
  <c r="C137" i="1" s="1"/>
  <c r="C125" i="1"/>
  <c r="F121" i="1"/>
  <c r="F113" i="1"/>
  <c r="C113" i="1"/>
  <c r="C114" i="1" s="1"/>
  <c r="F106" i="1"/>
  <c r="C105" i="1"/>
  <c r="F104" i="1"/>
  <c r="F105" i="1" s="1"/>
  <c r="C121" i="1" s="1"/>
  <c r="C73" i="1"/>
  <c r="C67" i="1"/>
  <c r="F67" i="1" s="1"/>
  <c r="F53" i="1"/>
  <c r="F43" i="1"/>
  <c r="C43" i="1"/>
  <c r="C44" i="1" s="1"/>
  <c r="C45" i="1" s="1"/>
  <c r="F40" i="1"/>
  <c r="C39" i="1"/>
  <c r="F38" i="1"/>
  <c r="F39" i="1" s="1"/>
  <c r="C53" i="1" s="1"/>
  <c r="C30" i="1"/>
  <c r="C31" i="1" s="1"/>
  <c r="F28" i="1"/>
  <c r="C28" i="1"/>
  <c r="F21" i="1"/>
  <c r="C20" i="1"/>
  <c r="C21" i="1" s="1"/>
  <c r="C22" i="1" s="1"/>
  <c r="F12" i="1"/>
  <c r="C11" i="1"/>
  <c r="C12" i="1" s="1"/>
  <c r="C7" i="1"/>
  <c r="F6" i="1"/>
  <c r="F7" i="1" s="1"/>
  <c r="C6" i="1"/>
  <c r="C14" i="1" l="1"/>
  <c r="C15" i="1" s="1"/>
  <c r="F68" i="1"/>
  <c r="C23" i="1"/>
  <c r="C24" i="1" s="1"/>
  <c r="F114" i="1"/>
  <c r="C63" i="1"/>
  <c r="F63" i="1" s="1"/>
  <c r="C88" i="1" s="1"/>
  <c r="C62" i="1"/>
  <c r="C72" i="1" s="1"/>
  <c r="F44" i="1"/>
  <c r="F88" i="1"/>
  <c r="C87" i="1" l="1"/>
  <c r="C110" i="1"/>
  <c r="C109" i="1"/>
  <c r="C115" i="1" s="1"/>
  <c r="F24" i="1"/>
  <c r="F45" i="1"/>
  <c r="F15" i="1"/>
  <c r="C79" i="1" s="1"/>
  <c r="C80" i="1" s="1"/>
  <c r="C68" i="1"/>
  <c r="F85" i="1" l="1"/>
  <c r="C83" i="1"/>
  <c r="F80" i="1"/>
  <c r="C46" i="1"/>
  <c r="F46" i="1"/>
  <c r="F115" i="1"/>
  <c r="C116" i="1" s="1"/>
  <c r="F116" i="1" l="1"/>
  <c r="C48" i="1"/>
  <c r="C47" i="1"/>
  <c r="C52" i="1" s="1"/>
  <c r="F52" i="1" s="1"/>
  <c r="C54" i="1" s="1"/>
  <c r="C49" i="1"/>
  <c r="F49" i="1" s="1"/>
  <c r="F47" i="1"/>
  <c r="C85" i="1"/>
  <c r="F54" i="1" l="1"/>
  <c r="C55" i="1" s="1"/>
  <c r="C71" i="1"/>
  <c r="F48" i="1"/>
  <c r="C117" i="1"/>
  <c r="C120" i="1" s="1"/>
  <c r="F120" i="1" s="1"/>
  <c r="C122" i="1" s="1"/>
  <c r="F117" i="1"/>
  <c r="F56" i="1" l="1"/>
  <c r="C74" i="1" s="1"/>
  <c r="C57" i="1"/>
  <c r="F57" i="1" s="1"/>
  <c r="F122" i="1"/>
  <c r="C123" i="1" s="1"/>
  <c r="C75" i="1"/>
  <c r="C94" i="1" s="1"/>
  <c r="C124" i="1" l="1"/>
  <c r="C136" i="1" s="1"/>
  <c r="C128" i="1"/>
  <c r="F128" i="1" s="1"/>
  <c r="C129" i="1" s="1"/>
  <c r="F129" i="1" s="1"/>
  <c r="C81" i="1"/>
  <c r="F58" i="1"/>
  <c r="F87" i="1" s="1"/>
  <c r="C58" i="1"/>
  <c r="F89" i="1" l="1"/>
  <c r="F90" i="1" s="1"/>
  <c r="F91" i="1" s="1"/>
  <c r="C89" i="1"/>
  <c r="C90" i="1" s="1"/>
  <c r="C132" i="1"/>
  <c r="C82" i="1"/>
  <c r="C133" i="1" s="1"/>
  <c r="C134" i="1" l="1"/>
  <c r="C138" i="1" s="1"/>
  <c r="C139" i="1" s="1"/>
  <c r="C91" i="1"/>
  <c r="C95" i="1" l="1"/>
  <c r="C96" i="1" s="1"/>
  <c r="C97" i="1"/>
</calcChain>
</file>

<file path=xl/sharedStrings.xml><?xml version="1.0" encoding="utf-8"?>
<sst xmlns="http://schemas.openxmlformats.org/spreadsheetml/2006/main" count="461" uniqueCount="405">
  <si>
    <t>Plex Underwriting Model — Cruncher + CMHC Integrated</t>
  </si>
  <si>
    <t xml:space="preserve">  A  |  Propriété &amp; Acquisition</t>
  </si>
  <si>
    <t>Blue = inputs you change  |  Black = formulas</t>
  </si>
  <si>
    <t>Prix d'achat</t>
  </si>
  <si>
    <t># Unités</t>
  </si>
  <si>
    <t>Type d'unité</t>
  </si>
  <si>
    <t>6 x 4½</t>
  </si>
  <si>
    <t>Pied carré moyen / unité</t>
  </si>
  <si>
    <t>Roll Value (évaluation municipale)</t>
  </si>
  <si>
    <t>Coût d'acquisition (%)</t>
  </si>
  <si>
    <t>Prix / Unité</t>
  </si>
  <si>
    <t>Coût d'acquisition ($)</t>
  </si>
  <si>
    <t>Prime sur évaluation municipale</t>
  </si>
  <si>
    <t>Coût total acquisition</t>
  </si>
  <si>
    <t xml:space="preserve">  B  |  Revenus &amp; Dépenses — Actuel</t>
  </si>
  <si>
    <t>Loyer mensuel / unité (actuel)</t>
  </si>
  <si>
    <t>Taux d'inoccupation</t>
  </si>
  <si>
    <t>Revenus bruts annuels</t>
  </si>
  <si>
    <t>Autres revenus (parking, buanderie)</t>
  </si>
  <si>
    <t>Revenus effectifs bruts (EGI)</t>
  </si>
  <si>
    <t>Loyer / pied carré</t>
  </si>
  <si>
    <t>Dépenses d'exploitation (%)</t>
  </si>
  <si>
    <t>Normal: 30-40%  |  Conservateur: 35-45%</t>
  </si>
  <si>
    <t>Dépenses d'exploitation ($)</t>
  </si>
  <si>
    <t>Revenu net d'exploitation (NOI)</t>
  </si>
  <si>
    <t>Cap Rate (à l'achat)</t>
  </si>
  <si>
    <t xml:space="preserve">  C  |  Revenus Optimisés — Post-Rénovation</t>
  </si>
  <si>
    <t>Loyer mensuel / unité (optimisé)</t>
  </si>
  <si>
    <t>Croissance annuelle des loyers</t>
  </si>
  <si>
    <t>Période d'investissement (ans)</t>
  </si>
  <si>
    <t>Taux d'inoccupation (optimisé)</t>
  </si>
  <si>
    <t>Loyer projeté à la sortie / unité</t>
  </si>
  <si>
    <t>Dépenses optimisées (%)</t>
  </si>
  <si>
    <t>Revenus bruts optimisés</t>
  </si>
  <si>
    <t>Loyer optimisé / pied carré</t>
  </si>
  <si>
    <t>EGI optimisé</t>
  </si>
  <si>
    <t>Taux de roulement annuel</t>
  </si>
  <si>
    <t>Roulement locatif QC: 15-20%</t>
  </si>
  <si>
    <t>Dépenses optimisées ($)</t>
  </si>
  <si>
    <t>NOI optimisé</t>
  </si>
  <si>
    <t>Yield on Cost</t>
  </si>
  <si>
    <t>NOI optimisé ÷ coût total investi</t>
  </si>
  <si>
    <t xml:space="preserve">  D  |  Rénovations &amp; Cash for Keys</t>
  </si>
  <si>
    <t>Coût rénovation / unité</t>
  </si>
  <si>
    <t>% des unités à rénover</t>
  </si>
  <si>
    <t>Basses: 15-30k  |  Moyennes: 30-50k  |  Élevées: 60k+</t>
  </si>
  <si>
    <t>Coût rénovations total</t>
  </si>
  <si>
    <t>Coût rénov / pied carré</t>
  </si>
  <si>
    <t>Cash for keys / unité (mois de loyer)</t>
  </si>
  <si>
    <t>% des unités — cash for keys</t>
  </si>
  <si>
    <t>3-6 mois normal  |  6-12 si écart de loyer élevé</t>
  </si>
  <si>
    <t>Cash for keys total</t>
  </si>
  <si>
    <t>Approximation — en pratique, négocié selon écart loyer actuel vs marché</t>
  </si>
  <si>
    <t>Coût d'investissement total (rénos + CFK)</t>
  </si>
  <si>
    <t xml:space="preserve">  E  |  Financement SCHL — Hypothèque Assurée</t>
  </si>
  <si>
    <t>Paramètres SCHL automatisés: programme, points, DSCR, LTV, prime</t>
  </si>
  <si>
    <t>Programme &amp; Paramètres</t>
  </si>
  <si>
    <t>Taux &amp; Amortissement</t>
  </si>
  <si>
    <t>Programme SCHL</t>
  </si>
  <si>
    <t>MLI Market</t>
  </si>
  <si>
    <t>Taux d'intérêt annuel</t>
  </si>
  <si>
    <t>MLI Market = standard  |  MLI Select = incitatifs par points</t>
  </si>
  <si>
    <t>Type de bâtiment</t>
  </si>
  <si>
    <t>Standard Rental</t>
  </si>
  <si>
    <t>Terme hypothécaire (ans)</t>
  </si>
  <si>
    <t>5 ou 10 ans — affecte le DSCR requis sous MLI Market</t>
  </si>
  <si>
    <t>But du prêt</t>
  </si>
  <si>
    <t>Purchase / Refinance</t>
  </si>
  <si>
    <t>Amortissement demandé (ans)</t>
  </si>
  <si>
    <t>Points MLI Select</t>
  </si>
  <si>
    <t>Amort max permis (auto)</t>
  </si>
  <si>
    <t>MLI Market: 40  |  50pts: 40  |  70pts: 45  |  100pts: 50</t>
  </si>
  <si>
    <t>Palier de points</t>
  </si>
  <si>
    <t>Amortissement effectif (ans)</t>
  </si>
  <si>
    <t>Plafonné au max permis si dépassement</t>
  </si>
  <si>
    <t>LTV cible (%)</t>
  </si>
  <si>
    <t>Taux mensuel effectif (comp. semi-annuel)</t>
  </si>
  <si>
    <t>Contraintes SCHL — Double Plafond (DSCR × LTV)</t>
  </si>
  <si>
    <t>LTV max permis (auto)</t>
  </si>
  <si>
    <t>DSCR minimum requis (auto)</t>
  </si>
  <si>
    <t>LTV effectif max</t>
  </si>
  <si>
    <t>Constante hypothécaire annuelle</t>
  </si>
  <si>
    <t>Prêt max par LTV ($)</t>
  </si>
  <si>
    <t>Prêt max par DSCR ($)</t>
  </si>
  <si>
    <t>CONTRAINTE LIANTE</t>
  </si>
  <si>
    <t>PRÊT APPROUVÉ FINAL ($)</t>
  </si>
  <si>
    <t>LTV réel</t>
  </si>
  <si>
    <t>DSCR réel (prêt de base)</t>
  </si>
  <si>
    <t>Mise de fonds ($)</t>
  </si>
  <si>
    <t>Mise de fonds (%)</t>
  </si>
  <si>
    <t>Hypothèque mensuelle (base, avant prime)</t>
  </si>
  <si>
    <t>Hypothèque annuelle (base, avant prime)</t>
  </si>
  <si>
    <t>Prime SCHL &amp; Hypothèque Assurée</t>
  </si>
  <si>
    <t>LTV pour grille de prime</t>
  </si>
  <si>
    <t>Taux de prime de base</t>
  </si>
  <si>
    <t>Surcharge amortissement</t>
  </si>
  <si>
    <t>Rabais MLI Select (%)</t>
  </si>
  <si>
    <t>50pts: -10%  |  70pts: -20%  |  100pts: -30%</t>
  </si>
  <si>
    <t>Prime brute ($)</t>
  </si>
  <si>
    <t>Rabais ($)</t>
  </si>
  <si>
    <t>PRIME SCHL NETTE ($)</t>
  </si>
  <si>
    <t>Province</t>
  </si>
  <si>
    <t>Quebec</t>
  </si>
  <si>
    <t>TVQ sur prime ($)</t>
  </si>
  <si>
    <t>QC: 9.975%  |  ON/MB/SK: 8%  |  Autres: 0%</t>
  </si>
  <si>
    <t>Hypothèque assurée totale</t>
  </si>
  <si>
    <t>Paiement mensuel (assuré)</t>
  </si>
  <si>
    <t>DSCR sur hypothèque assurée</t>
  </si>
  <si>
    <t>Service de dette annuel (assuré)</t>
  </si>
  <si>
    <t>← DSCR et service de dette sur montant assuré (prêt + prime SCHL capitalisée)</t>
  </si>
  <si>
    <t xml:space="preserve">  F  |  Financement Privé — Rénovations</t>
  </si>
  <si>
    <t>1er rang: 6-9%  |  2e rang: 8-13%  |  3e rang: 10-15%</t>
  </si>
  <si>
    <t>% des rénovations financées</t>
  </si>
  <si>
    <t>Taux du financement privé</t>
  </si>
  <si>
    <t>Mise de fonds rénovations</t>
  </si>
  <si>
    <t>Période du financement (ans)</t>
  </si>
  <si>
    <t>Montant financé</t>
  </si>
  <si>
    <t>Coût total du financement</t>
  </si>
  <si>
    <t xml:space="preserve">  G  |  Réserves &amp; Capex</t>
  </si>
  <si>
    <t>Réserve prévoyance / unité / mois</t>
  </si>
  <si>
    <t>Réserve totale (sur période)</t>
  </si>
  <si>
    <t>Réserve annuelle</t>
  </si>
  <si>
    <t>% du NOI actuel</t>
  </si>
  <si>
    <t>Réserve mensuelle</t>
  </si>
  <si>
    <t xml:space="preserve">  H  |  Mise de Fonds Totale &amp; Cash Required</t>
  </si>
  <si>
    <t>Mise de fonds hypothèque</t>
  </si>
  <si>
    <t>Coût d'acquisition</t>
  </si>
  <si>
    <t>TVQ sur prime SCHL</t>
  </si>
  <si>
    <t>TOTAL CASH REQUIS À LA FERMETURE</t>
  </si>
  <si>
    <t>Excluant réserves opérationnelles</t>
  </si>
  <si>
    <t xml:space="preserve">  I  |  Scénario: Vente</t>
  </si>
  <si>
    <t>Changement de cap rate (bps/an)</t>
  </si>
  <si>
    <t>Conservateur: ajuster vers le haut</t>
  </si>
  <si>
    <t>Cap rate à la revente</t>
  </si>
  <si>
    <t>Prix de revente</t>
  </si>
  <si>
    <t>Prix / porte</t>
  </si>
  <si>
    <t>Hypothèque restante à la sortie</t>
  </si>
  <si>
    <t>Pénalité bris hypothèque</t>
  </si>
  <si>
    <t>Nouveau taux hypothèque (pour pénalité)</t>
  </si>
  <si>
    <t>Changer F82 pour modéliser un scénario de baisse de taux (pénalité IRD)</t>
  </si>
  <si>
    <t>Profit brut (prix revente - coût total)</t>
  </si>
  <si>
    <t>Taux d'imposition</t>
  </si>
  <si>
    <t>Commission vente (%)</t>
  </si>
  <si>
    <t>Taux corporatif sur gain en capital (inclusion 2/3 × ~50%)</t>
  </si>
  <si>
    <t>Impôt à payer</t>
  </si>
  <si>
    <t>Commission ($)</t>
  </si>
  <si>
    <t>Notaire &amp; frais de fermeture</t>
  </si>
  <si>
    <t>Taux marginal (revenu locatif)</t>
  </si>
  <si>
    <t>Corp actif QC: ~26.5% (SBD)  |  Corp passif: ~50%  |  Personnel: ~50%</t>
  </si>
  <si>
    <t>Revenus nets moyens (sur période)</t>
  </si>
  <si>
    <t>Service de dette total (sur période)</t>
  </si>
  <si>
    <t>Pondéré par roulement locatif annuel</t>
  </si>
  <si>
    <t>Coût financement privé</t>
  </si>
  <si>
    <t>Réserves totales</t>
  </si>
  <si>
    <t>Profit opérationnel net</t>
  </si>
  <si>
    <t>Intérêt total (sur période)</t>
  </si>
  <si>
    <t>Service de dette total − remboursement de capital</t>
  </si>
  <si>
    <t>PROFIT NET AVANT IMPÔT</t>
  </si>
  <si>
    <t>Revenu locatif imposable (sur période)</t>
  </si>
  <si>
    <t>NOI cumulatif − intérêt hypothécaire</t>
  </si>
  <si>
    <t>PROFIT NET APRÈS IMPÔT &amp; FRAIS</t>
  </si>
  <si>
    <t>Impôt sur revenu locatif (sur période)</t>
  </si>
  <si>
    <t xml:space="preserve">  J  |  Rendements</t>
  </si>
  <si>
    <t>Mise de fonds totale</t>
  </si>
  <si>
    <t>Rendement total net (sur mise de fonds)</t>
  </si>
  <si>
    <t>Rendement annualisé</t>
  </si>
  <si>
    <t>Multiple de sortie</t>
  </si>
  <si>
    <t xml:space="preserve">  K  |  Scénario: Refinancement SCHL</t>
  </si>
  <si>
    <t>Programme &amp; Paramètres Refi</t>
  </si>
  <si>
    <t>Programme SCHL (refi)</t>
  </si>
  <si>
    <t>Taux d'intérêt refi</t>
  </si>
  <si>
    <t>Type de bâtiment (refi)</t>
  </si>
  <si>
    <t>Terme refi (ans)</t>
  </si>
  <si>
    <t>Amortissement demandé refi (ans)</t>
  </si>
  <si>
    <t>Points MLI Select (refi)</t>
  </si>
  <si>
    <t>Palier de points (refi)</t>
  </si>
  <si>
    <t>Amortissement effectif refi (ans)</t>
  </si>
  <si>
    <t>LTV cible refi (%)</t>
  </si>
  <si>
    <t>Taux mensuel effectif refi</t>
  </si>
  <si>
    <t>Valeur &amp; NOI au Refinancement</t>
  </si>
  <si>
    <t>Valeur estimée au refinancement</t>
  </si>
  <si>
    <t>Cap rate au refinancement</t>
  </si>
  <si>
    <t>NOI optimisé ÷ cap rate refi (input indépendant)</t>
  </si>
  <si>
    <t>NOI au refinancement</t>
  </si>
  <si>
    <t>NOI optimisé (de section C)</t>
  </si>
  <si>
    <t>Contraintes SCHL Refi — Double Plafond</t>
  </si>
  <si>
    <t>LTV effectif max refi</t>
  </si>
  <si>
    <t>Constante hypothécaire annuelle refi</t>
  </si>
  <si>
    <t>PRÊT APPROUVÉ REFI ($)</t>
  </si>
  <si>
    <t>LTV réel refi</t>
  </si>
  <si>
    <t>DSCR réel refi</t>
  </si>
  <si>
    <t>Prime SCHL Refi</t>
  </si>
  <si>
    <t>PRIME SCHL NETTE REFI ($)</t>
  </si>
  <si>
    <t>TVQ sur prime refi ($)</t>
  </si>
  <si>
    <t>Utilise la même province que section E</t>
  </si>
  <si>
    <t># Unités (pour frais SCHL)</t>
  </si>
  <si>
    <t>Frais de demande SCHL refi ($)</t>
  </si>
  <si>
    <t>Hypothèque Assurée Refi &amp; Service de Dette</t>
  </si>
  <si>
    <t>Hypothèque assurée refi (prêt + prime)</t>
  </si>
  <si>
    <t>Paiement mensuel refi (assuré)</t>
  </si>
  <si>
    <t>Service de dette annuel refi</t>
  </si>
  <si>
    <t>DSCR sur hypothèque assurée refi</t>
  </si>
  <si>
    <t>Prise de Fonds (Cash-Out)</t>
  </si>
  <si>
    <t>Hypothèque actuelle restante</t>
  </si>
  <si>
    <t>Balance sur hypothèque assurée initiale</t>
  </si>
  <si>
    <t>Prise de fonds brute</t>
  </si>
  <si>
    <t>Nouveau prêt − ancienne balance − pénalité</t>
  </si>
  <si>
    <t>Frais de fermeture refi (notaire, légal)</t>
  </si>
  <si>
    <t>Frais de demande SCHL</t>
  </si>
  <si>
    <t>PRISE DE FONDS NETTE</t>
  </si>
  <si>
    <t>Multiple (cash-out net ÷ mise de fonds initiale)</t>
  </si>
  <si>
    <t>Règles SCHL — Référence Rapide</t>
  </si>
  <si>
    <t>Post 14 Juillet 2025  |  Source: CMHC.ca</t>
  </si>
  <si>
    <t xml:space="preserve">  A  |  Amortissement Maximum par Programme &amp; Points</t>
  </si>
  <si>
    <t>Programme / Palier</t>
  </si>
  <si>
    <t>Points Requis</t>
  </si>
  <si>
    <t>Amort Max</t>
  </si>
  <si>
    <t>LTV Max</t>
  </si>
  <si>
    <t>Rabais Prime</t>
  </si>
  <si>
    <t>N/A</t>
  </si>
  <si>
    <t>40 ans (50 construction)</t>
  </si>
  <si>
    <t>85%</t>
  </si>
  <si>
    <t>Aucun</t>
  </si>
  <si>
    <t>MLI Select — Tier 1</t>
  </si>
  <si>
    <t>50+ pts</t>
  </si>
  <si>
    <t>40 ans</t>
  </si>
  <si>
    <t>90%</t>
  </si>
  <si>
    <t>−10%</t>
  </si>
  <si>
    <t>MLI Select — Tier 2</t>
  </si>
  <si>
    <t>70+ pts</t>
  </si>
  <si>
    <t>45 ans</t>
  </si>
  <si>
    <t>−20%</t>
  </si>
  <si>
    <t>MLI Select — Tier 3</t>
  </si>
  <si>
    <t>100+ pts</t>
  </si>
  <si>
    <t>50 ans</t>
  </si>
  <si>
    <t>95%*</t>
  </si>
  <si>
    <t>−30%</t>
  </si>
  <si>
    <t>* 95% LTV disponible via prêteurs approuvés sous Tier 3</t>
  </si>
  <si>
    <t xml:space="preserve">  B  |  DSCR Minimum par Programme × Terme × Type</t>
  </si>
  <si>
    <t>Programme</t>
  </si>
  <si>
    <t>Type</t>
  </si>
  <si>
    <t>Terme 5 ans</t>
  </si>
  <si>
    <t>Terme 10 ans</t>
  </si>
  <si>
    <t>Note</t>
  </si>
  <si>
    <t>1.30x</t>
  </si>
  <si>
    <t>1.20x</t>
  </si>
  <si>
    <t>DSCR plus haut pour terme court</t>
  </si>
  <si>
    <t>Other Shelter</t>
  </si>
  <si>
    <t>Même palier</t>
  </si>
  <si>
    <t>MLI Select</t>
  </si>
  <si>
    <t>1.10x</t>
  </si>
  <si>
    <t>Pas de distinction par terme</t>
  </si>
  <si>
    <t xml:space="preserve">  C  |  Surcharge Amortissement</t>
  </si>
  <si>
    <t>Amortissement</t>
  </si>
  <si>
    <t>Années au-delà de 25</t>
  </si>
  <si>
    <t>Surcharge %</t>
  </si>
  <si>
    <t>25 ans (standard)</t>
  </si>
  <si>
    <t>0</t>
  </si>
  <si>
    <t>0.000%</t>
  </si>
  <si>
    <t>30 ans</t>
  </si>
  <si>
    <t>5</t>
  </si>
  <si>
    <t>0.250%</t>
  </si>
  <si>
    <t>35 ans</t>
  </si>
  <si>
    <t>10</t>
  </si>
  <si>
    <t>0.500%</t>
  </si>
  <si>
    <t>15</t>
  </si>
  <si>
    <t>0.750%</t>
  </si>
  <si>
    <t>20</t>
  </si>
  <si>
    <t>1.000%</t>
  </si>
  <si>
    <t>25</t>
  </si>
  <si>
    <t>1.250%</t>
  </si>
  <si>
    <t xml:space="preserve">  D  |  Taux de Prime — Standard Rental</t>
  </si>
  <si>
    <t>Palier LTV</t>
  </si>
  <si>
    <t>Construction</t>
  </si>
  <si>
    <t>Achat / Refi</t>
  </si>
  <si>
    <t>Disponible</t>
  </si>
  <si>
    <t>≤ 65%</t>
  </si>
  <si>
    <t>3.250%</t>
  </si>
  <si>
    <t>2.600%</t>
  </si>
  <si>
    <t>MLI Market &amp; Select</t>
  </si>
  <si>
    <t>≤ 70%</t>
  </si>
  <si>
    <t>3.750%</t>
  </si>
  <si>
    <t>2.850%</t>
  </si>
  <si>
    <t>≤ 75%</t>
  </si>
  <si>
    <t>4.250%</t>
  </si>
  <si>
    <t>3.350%</t>
  </si>
  <si>
    <t>≤ 80%</t>
  </si>
  <si>
    <t>5.000%</t>
  </si>
  <si>
    <t>4.350%</t>
  </si>
  <si>
    <t>≤ 85%</t>
  </si>
  <si>
    <t>6.000%</t>
  </si>
  <si>
    <t>5.350%</t>
  </si>
  <si>
    <t>≤ 90%</t>
  </si>
  <si>
    <t>6.750%</t>
  </si>
  <si>
    <t>5.900%</t>
  </si>
  <si>
    <t>MLI Select seulement</t>
  </si>
  <si>
    <t>&gt; 90%</t>
  </si>
  <si>
    <t>7.000%</t>
  </si>
  <si>
    <t>6.150%</t>
  </si>
  <si>
    <t>Notes &amp; Hypothèses de Souscription</t>
  </si>
  <si>
    <t xml:space="preserve">  Rénovations</t>
  </si>
  <si>
    <t xml:space="preserve">  • Basses : 15k à 30k par unité</t>
  </si>
  <si>
    <t xml:space="preserve">  • Moyennes : 30k à 50k par unité</t>
  </si>
  <si>
    <t xml:space="preserve">  • Élevées : 60k et plus par unité</t>
  </si>
  <si>
    <t xml:space="preserve">  Dépenses d'exploitation (%)</t>
  </si>
  <si>
    <t xml:space="preserve">  • Normal : 30% - 40%</t>
  </si>
  <si>
    <t xml:space="preserve">  • Conservateur : 35% - 45%</t>
  </si>
  <si>
    <t xml:space="preserve">  Taux de Vacance (%)</t>
  </si>
  <si>
    <t xml:space="preserve">  • 3% à 5% — provision pour unités non occupées</t>
  </si>
  <si>
    <t xml:space="preserve">  Cash for Keys</t>
  </si>
  <si>
    <t xml:space="preserve">  • Combien un locataire est prêt à recevoir pour partir de son loyer</t>
  </si>
  <si>
    <t xml:space="preserve">  • 3 à 6 mois de loyer — normal</t>
  </si>
  <si>
    <t xml:space="preserve">  • 6 à 12 mois — écart du loyer actuel vs marché très élevé</t>
  </si>
  <si>
    <t xml:space="preserve">  • 12 mois et plus — bail actuel très avantageux et en demande</t>
  </si>
  <si>
    <t xml:space="preserve">  Roulement des Logements</t>
  </si>
  <si>
    <t xml:space="preserve">  • Le roulement au Québec est autour de 15% à 20%</t>
  </si>
  <si>
    <t xml:space="preserve">  • Peut prendre 5 à 7 ans avant que tous les logements soient reloués à de nouveaux locataires</t>
  </si>
  <si>
    <t xml:space="preserve">  Financement Privé</t>
  </si>
  <si>
    <t xml:space="preserve">  • Hypothèque de 1er rang : 6% - 9%</t>
  </si>
  <si>
    <t xml:space="preserve">  • Hypothèque de 2e rang : 8% - 13%</t>
  </si>
  <si>
    <t xml:space="preserve">  • Hypothèque de 3e rang : 10% - 15%</t>
  </si>
  <si>
    <t xml:space="preserve">  SCHL — Critères d'emprunteur</t>
  </si>
  <si>
    <t xml:space="preserve">  • Net worth ≥ 25% du montant du prêt, minimum 100,000$</t>
  </si>
  <si>
    <t xml:space="preserve">  • Compétence démontrée sur immeuble similaire OU ≥ 5 ans d'expérience multi-unit</t>
  </si>
  <si>
    <t xml:space="preserve">  • OU contrat de gestion avec firme professionnelle ayant le track record</t>
  </si>
  <si>
    <t xml:space="preserve">  Ratio de Couverture de Dette</t>
  </si>
  <si>
    <t xml:space="preserve">  • Conventionnel : 1.20x - 1.30x typique</t>
  </si>
  <si>
    <t xml:space="preserve">  • SCHL 5-6 unités (achat) : DCR min 1.10x (MLI Select)</t>
  </si>
  <si>
    <t xml:space="preserve">  • SCHL 5-6 unités (refinancement) : DCR min 1.20x</t>
  </si>
  <si>
    <t xml:space="preserve">  • SCHL 7+ unités : souvent 1.20x (terme 10 ans+) ou 1.30x (terme &lt; 10 ans)</t>
  </si>
  <si>
    <t xml:space="preserve">  • Le calcul du DCR devrait inclure les réserves de capex, à confirmer</t>
  </si>
  <si>
    <t xml:space="preserve">  Amortissement</t>
  </si>
  <si>
    <t xml:space="preserve">  • Conventionnel : 25-30 ans</t>
  </si>
  <si>
    <t xml:space="preserve">  • SCHL : 35 ans conservateur, 40 ans optimisé, jusqu'à 50 ans (MLI Select 100pts)</t>
  </si>
  <si>
    <t xml:space="preserve">  Hypothèque Fixed vs Variable</t>
  </si>
  <si>
    <t xml:space="preserve">  • Les taux variables sont plus élevés présentement</t>
  </si>
  <si>
    <t xml:space="preserve">  • Préférable d'aller fixed pour atteindre les cibles de DCR</t>
  </si>
  <si>
    <t xml:space="preserve">  • Pénalité variable : 3 mois d'intérêt</t>
  </si>
  <si>
    <t xml:space="preserve">  • Pénalité fixe : le plus haut entre 3 mois d'intérêt ET le différentiel de taux × balance × années restantes</t>
  </si>
  <si>
    <t xml:space="preserve">  Cap Rate à la Revente</t>
  </si>
  <si>
    <t xml:space="preserve">  • Assumer le même cap rate à l'achat si la période d'investissement est courte</t>
  </si>
  <si>
    <t xml:space="preserve">  • Sinon ajuster vers le haut — être conservateur dans le modèle</t>
  </si>
  <si>
    <t xml:space="preserve">  Pièges du Modèle — Ce qui peut vous brûler</t>
  </si>
  <si>
    <t xml:space="preserve">  ⚠ Le service de dette se calcule sur l'hypothèque ASSURÉE (prêt + prime capitalisée), pas sur le prêt de base. Sur un 6-plex à 800k de prêt avec 25k de prime, c'est ~$1,300/an de dette en plus que les gens oublient. Ça peut faire basculer un DSCR serré.</t>
  </si>
  <si>
    <t xml:space="preserve">  ⚠ La balance hypothécaire restante à la sortie est aussi sur le montant assuré. Si vous calculez le cash-out refi ou le profit de vente sur le prêt de base, vous surestimez votre retour.</t>
  </si>
  <si>
    <t xml:space="preserve">  ⚠ La pénalité de bris hypothécaire fixe n'est PAS 3 mois d'intérêt — c'est le PLUS ÉLEVÉ entre 3 mois d'intérêt et le différentiel de taux × balance × années restantes. Sur un terme 10 ans brisé à l'an 5 avec un écart de 50bps, la pénalité différentielle peut être 3-4x plus élevée que les 3 mois.</t>
  </si>
  <si>
    <t xml:space="preserve">  ⚠ Le DSCR sur l'hypothèque assurée est toujours plus bas que le DSCR sur le prêt de base. Si votre DSCR de base est à 1.10x pile, votre DSCR assuré sera ~1.07x — en dessous du minimum requis. Le prêteur regarde le DSCR assuré.</t>
  </si>
  <si>
    <t xml:space="preserve">  ⚠ Un refinancement SCHL déclenche une nouvelle prime d'assurance. Le cash-out net peut être 5-10% plus bas que le brut une fois la prime + TVQ + frais de demande déduits. Ne pas confondre cash-out brut et net.</t>
  </si>
  <si>
    <t xml:space="preserve">  Double Plafond SCHL — Comment ça fonctionne</t>
  </si>
  <si>
    <t xml:space="preserve">  La SCHL impose DEUX plafonds indépendants sur le prêt maximum:</t>
  </si>
  <si>
    <t xml:space="preserve">  </t>
  </si>
  <si>
    <t xml:space="preserve">  1. Plafond LTV (contrainte d'actif): Prêt max = Valeur × LTV max permis</t>
  </si>
  <si>
    <t xml:space="preserve">     → Dépend du programme et des points: Market=85%, Select 50pts=90%, Select 100pts=95%</t>
  </si>
  <si>
    <t xml:space="preserve">  2. Plafond DSCR (contrainte de revenu): Prêt max = NOI ÷ (DSCR min × Constante hypothécaire)</t>
  </si>
  <si>
    <t xml:space="preserve">     → Dépend du programme, terme et type: Select Std=1.10x, Market 5yr=1.30x, Market 10yr=1.20x</t>
  </si>
  <si>
    <t xml:space="preserve">  Le prêt approuvé est le MINIMUM des deux. La contrainte liante vous dit quel levier tirer:</t>
  </si>
  <si>
    <t xml:space="preserve">    • Si DSCR-lié → augmenter les loyers, réduire les dépenses, ou allonger l'amortissement</t>
  </si>
  <si>
    <t xml:space="preserve">    • Si LTV-lié → la valeur de l'immeuble est le goulot; les revenus ne changent rien au prêt</t>
  </si>
  <si>
    <t xml:space="preserve">  Pour les plex 5-6 unités typiques au Québec, c'est presque toujours DSCR-lié parce que les cap rates sont compressés (4-5%) mais les taux hypothécaires sont à 4-5%. La constante hypothécaire mange le NOI.</t>
  </si>
  <si>
    <t xml:space="preserve">  MLI Select — Quand ça vaut la peine</t>
  </si>
  <si>
    <t xml:space="preserve">  MLI Select offre trois avantages vs MLI Market: amort plus long, LTV plus haut, rabais sur la prime.</t>
  </si>
  <si>
    <t xml:space="preserve">  Mais les points ne sont pas gratuits — ils exigent des engagements (accessibilité, efficacité énergétique).</t>
  </si>
  <si>
    <t xml:space="preserve">  Tier 1 (50 pts): Amort 40yr, LTV 90%, prime -10%</t>
  </si>
  <si>
    <t xml:space="preserve">    → Le minimum pour entrer dans Select. Le gain principal est le LTV 90% vs 85%.</t>
  </si>
  <si>
    <t xml:space="preserve">    → Sur un plex à 1.15M, c'est 57.5k de mise de fonds en moins.</t>
  </si>
  <si>
    <t xml:space="preserve">  Tier 2 (70 pts): Amort 45yr, LTV 90%, prime -20%</t>
  </si>
  <si>
    <t xml:space="preserve">    → Le sweet spot. L'amort 45yr réduit la constante hypothécaire de ~5bps, ce qui desserre le DSCR.</t>
  </si>
  <si>
    <t xml:space="preserve">    → Le rabais de 20% sur la prime peut valoir 5-10k sur un plex.</t>
  </si>
  <si>
    <t xml:space="preserve">  Tier 3 (100 pts): Amort 50yr, LTV 95%, prime -30%</t>
  </si>
  <si>
    <t xml:space="preserve">    → Difficile à atteindre sur un plex existant. Plus réaliste pour du neuf ou du gros multi.</t>
  </si>
  <si>
    <t xml:space="preserve">  Conseil: si vous êtes DSCR-lié, passer de 50 à 70 points peut débloquer le deal</t>
  </si>
  <si>
    <t xml:space="preserve">  grâce à l'amort 45yr. Vérifiez si l'immeuble qualifie pour les points d'accessibilité.</t>
  </si>
  <si>
    <t xml:space="preserve">  Yield on Cost vs Cap Rate — Quoi regarder</t>
  </si>
  <si>
    <t xml:space="preserve">  Le cap rate d'achat vous dit ce que le marché paie pour le NOI actuel. C'est un prix, pas un rendement.</t>
  </si>
  <si>
    <t xml:space="preserve">  Le yield on cost (YoC) vous dit ce que VOTRE investissement total génère comme NOI stabilisé.</t>
  </si>
  <si>
    <t xml:space="preserve">  YoC = NOI optimisé ÷ (prix d'achat + acquisition + rénovations + cash for keys)</t>
  </si>
  <si>
    <t xml:space="preserve">  La règle: le YoC doit être SUPÉRIEUR au cap rate d'achat, sinon vous détruisez de la valeur.</t>
  </si>
  <si>
    <t xml:space="preserve">    • YoC &gt; Cap rate + 150bps → bon deal, vous créez de la valeur significative</t>
  </si>
  <si>
    <t xml:space="preserve">    • YoC &gt; Cap rate + 75bps → deal correct, marge de sécurité mince</t>
  </si>
  <si>
    <t xml:space="preserve">    • YoC ≤ Cap rate → vous payez plus en rénovations que ce que le marché vous rend en valeur</t>
  </si>
  <si>
    <t xml:space="preserve">  Attention: le YoC ne tient pas compte du financement. Deux deals avec le même YoC mais</t>
  </si>
  <si>
    <t xml:space="preserve">  des structures de dette différentes auront des rendements sur equity très différents.</t>
  </si>
  <si>
    <t xml:space="preserve">  Vente vs Refinancement — Comment choisir</t>
  </si>
  <si>
    <t xml:space="preserve">  Le scénario vente cristallise le profit mais vous sortez de l'actif.</t>
  </si>
  <si>
    <t xml:space="preserve">  Le scénario refi vous permet de recycler le capital sans vendre — mais vous gardez le risque.</t>
  </si>
  <si>
    <t xml:space="preserve">  Favoriser la VENTE quand:</t>
  </si>
  <si>
    <t xml:space="preserve">    • Le marché est au sommet du cycle (cap rates compressés, multiples élevés)</t>
  </si>
  <si>
    <t xml:space="preserve">    • Le DSCR post-refi serait trop serré pour être confortable</t>
  </si>
  <si>
    <t xml:space="preserve">    • Vous avez un meilleur deal qui attend le capital</t>
  </si>
  <si>
    <t xml:space="preserve">    • L'immeuble a des problèmes structurels qui vont coûter cher à long terme</t>
  </si>
  <si>
    <t xml:space="preserve">  Favoriser le REFI quand:</t>
  </si>
  <si>
    <t xml:space="preserve">    • Le cash-on-cash post-refi est supérieur à ce que vous obtiendriez ailleurs</t>
  </si>
  <si>
    <t xml:space="preserve">    • Vous croyez que la valeur va continuer à monter</t>
  </si>
  <si>
    <t xml:space="preserve">    • Les frais de vente (commission 2-5% + impôt sur gain) mangent trop de profit</t>
  </si>
  <si>
    <t xml:space="preserve">    • Vous voulez accumuler un portfolio sans déclencher d'impôt</t>
  </si>
  <si>
    <t xml:space="preserve">  Le piège classique: faire un refi pour recycler du capital vers un deal pire que celui que vous avez.</t>
  </si>
  <si>
    <t xml:space="preserve">  Stress Tests — Quoi vérifier avant de signer</t>
  </si>
  <si>
    <t xml:space="preserve">  Avant de faire une offre, changez ces inputs et regardez si le deal survit:</t>
  </si>
  <si>
    <t xml:space="preserve">  1. Taux d'intérêt +100bps → le DSCR passe-t-il encore? Le prêt approuvé change de combien?</t>
  </si>
  <si>
    <t xml:space="preserve">  2. Vacancy 8% au lieu de 5% → le NOI couvre-t-il encore la dette?</t>
  </si>
  <si>
    <t xml:space="preserve">  3. Dépenses 40% au lieu de 30% → réaliste pour un vieux bâtiment avec chauffage inclus</t>
  </si>
  <si>
    <t xml:space="preserve">  4. Loyer optimisé -10% → si le marché locatif se ramollit, votre thèse tient-elle?</t>
  </si>
  <si>
    <t xml:space="preserve">  5. Cap rate de revente +50bps → sur 5 ans, le marché peut se normaliser</t>
  </si>
  <si>
    <t xml:space="preserve">  6. Période de stabilisation 7 ans au lieu de 5 → roulement de 15% = réalité québécoise</t>
  </si>
  <si>
    <t xml:space="preserve">  Si le deal ne survit pas à 2 de ces 6 stress tests simultanément, la marge de sécurité est insuffisante.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</si>
</sst>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0.0%"/>
    <numFmt numFmtId="166" formatCode="\$#,##0.00"/>
    <numFmt numFmtId="167" formatCode="0.000000%"/>
    <numFmt numFmtId="168" formatCode="0.00\x"/>
    <numFmt numFmtId="169" formatCode="\$#,##0;&quot;($&quot;#,##0\);\-"/>
  </numFmts>
  <fonts count="17" x14ac:knownFonts="1">
    <font>
      <sz val="11"/>
      <color theme="1"/>
      <name val="Calibri"/>
      <family val="2"/>
      <charset val="1"/>
    </font>
    <font>
      <b/>
      <sz val="12"/>
      <color rgb="FFFFFFFF"/>
      <name val="Aptos Narrow"/>
    </font>
    <font>
      <b/>
      <sz val="11"/>
      <color rgb="FFFFFFFF"/>
      <name val="Aptos Narrow"/>
    </font>
    <font>
      <i/>
      <sz val="9"/>
      <color rgb="FF666666"/>
      <name val="Aptos Narrow"/>
    </font>
    <font>
      <sz val="11"/>
      <color rgb="FF000000"/>
      <name val="Aptos Narrow"/>
    </font>
    <font>
      <sz val="11"/>
      <color rgb="FF0000FF"/>
      <name val="Aptos Narrow"/>
    </font>
    <font>
      <sz val="10"/>
      <color rgb="FF000000"/>
      <name val="Arial"/>
      <family val="2"/>
    </font>
    <font>
      <b/>
      <sz val="11"/>
      <color rgb="FF000000"/>
      <name val="Aptos Narrow"/>
    </font>
    <font>
      <sz val="10"/>
      <color rgb="FF0000FF"/>
      <name val="Arial"/>
      <family val="2"/>
    </font>
    <font>
      <i/>
      <sz val="10"/>
      <color rgb="FF808080"/>
      <name val="Arial"/>
      <family val="2"/>
    </font>
    <font>
      <b/>
      <sz val="11"/>
      <color rgb="FF2F4F4F"/>
      <name val="Aptos Narrow"/>
    </font>
    <font>
      <b/>
      <sz val="10"/>
      <color rgb="FF000000"/>
      <name val="Arial"/>
      <family val="2"/>
    </font>
    <font>
      <sz val="11"/>
      <color rgb="FF008000"/>
      <name val="Aptos Narrow"/>
    </font>
    <font>
      <b/>
      <sz val="11"/>
      <name val="Aptos Narrow"/>
    </font>
    <font>
      <sz val="11"/>
      <name val="Aptos Narrow"/>
    </font>
    <font>
      <sz val="10"/>
      <color rgb="FF333333"/>
      <name val="Aptos Narrow"/>
    </font>
    <font>
      <b/>
      <sz val="10"/>
      <color rgb="FFC62828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2F4F4F"/>
        <bgColor rgb="FF333333"/>
      </patternFill>
    </fill>
    <fill>
      <patternFill patternType="solid">
        <fgColor rgb="FF4682B4"/>
        <bgColor rgb="FF3366FF"/>
      </patternFill>
    </fill>
    <fill>
      <patternFill patternType="solid">
        <fgColor rgb="FFFFF8DC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B0C4DE"/>
        <bgColor rgb="FF99CCFF"/>
      </patternFill>
    </fill>
    <fill>
      <patternFill patternType="solid">
        <fgColor rgb="FFFFECB3"/>
        <bgColor rgb="FFFFF8DC"/>
      </patternFill>
    </fill>
    <fill>
      <patternFill patternType="solid">
        <fgColor rgb="FFF5F5F5"/>
        <bgColor rgb="FFE8F5E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0" xfId="0" applyFont="1" applyFill="1"/>
    <xf numFmtId="0" fontId="10" fillId="6" borderId="0" xfId="0" applyFont="1" applyFill="1"/>
    <xf numFmtId="0" fontId="10" fillId="6" borderId="1" xfId="0" applyFont="1" applyFill="1" applyBorder="1"/>
    <xf numFmtId="0" fontId="10" fillId="6" borderId="2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164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165" fontId="4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7" fillId="5" borderId="0" xfId="0" applyNumberFormat="1" applyFont="1" applyFill="1" applyAlignment="1">
      <alignment horizontal="center"/>
    </xf>
    <xf numFmtId="10" fontId="7" fillId="5" borderId="0" xfId="0" applyNumberFormat="1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0" fontId="9" fillId="0" borderId="0" xfId="0" applyFont="1"/>
    <xf numFmtId="10" fontId="5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7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7" fillId="0" borderId="0" xfId="0" applyFont="1"/>
    <xf numFmtId="0" fontId="7" fillId="7" borderId="0" xfId="0" applyFont="1" applyFill="1" applyAlignment="1">
      <alignment horizontal="center"/>
    </xf>
    <xf numFmtId="168" fontId="7" fillId="5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4" fillId="0" borderId="0" xfId="0" applyNumberFormat="1" applyFont="1"/>
    <xf numFmtId="169" fontId="4" fillId="0" borderId="0" xfId="0" applyNumberFormat="1" applyFont="1" applyAlignment="1">
      <alignment horizontal="center"/>
    </xf>
    <xf numFmtId="165" fontId="8" fillId="4" borderId="0" xfId="0" applyNumberFormat="1" applyFont="1" applyFill="1" applyAlignment="1">
      <alignment horizontal="center"/>
    </xf>
    <xf numFmtId="169" fontId="5" fillId="4" borderId="0" xfId="0" applyNumberFormat="1" applyFont="1" applyFill="1" applyAlignment="1">
      <alignment horizontal="center"/>
    </xf>
    <xf numFmtId="169" fontId="11" fillId="5" borderId="0" xfId="0" applyNumberFormat="1" applyFont="1" applyFill="1" applyAlignment="1">
      <alignment horizontal="center"/>
    </xf>
    <xf numFmtId="169" fontId="6" fillId="0" borderId="0" xfId="0" applyNumberFormat="1" applyFont="1" applyAlignment="1">
      <alignment horizontal="center"/>
    </xf>
    <xf numFmtId="165" fontId="7" fillId="5" borderId="0" xfId="0" applyNumberFormat="1" applyFont="1" applyFill="1" applyAlignment="1">
      <alignment horizontal="center"/>
    </xf>
    <xf numFmtId="10" fontId="8" fillId="0" borderId="0" xfId="0" applyNumberFormat="1" applyFont="1"/>
    <xf numFmtId="16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9" fontId="12" fillId="0" borderId="0" xfId="0" applyNumberFormat="1" applyFont="1" applyAlignment="1">
      <alignment horizontal="center"/>
    </xf>
    <xf numFmtId="0" fontId="2" fillId="3" borderId="0" xfId="0" applyFont="1" applyFill="1"/>
    <xf numFmtId="0" fontId="13" fillId="8" borderId="0" xfId="0" applyFont="1" applyFill="1"/>
    <xf numFmtId="0" fontId="14" fillId="0" borderId="0" xfId="0" applyFont="1"/>
    <xf numFmtId="0" fontId="1" fillId="2" borderId="0" xfId="0" applyFont="1" applyFill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C62828"/>
      <rgbColor rgb="FFFFF8D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CB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682B4"/>
      <rgbColor rgb="FF003300"/>
      <rgbColor rgb="FF333300"/>
      <rgbColor rgb="FF8B4513"/>
      <rgbColor rgb="FF993366"/>
      <rgbColor rgb="FF2F4F4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4F4F"/>
  </sheetPr>
  <dimension ref="A1:H139"/>
  <sheetViews>
    <sheetView showGridLines="0" tabSelected="1" zoomScale="150" zoomScaleNormal="150" workbookViewId="0">
      <pane ySplit="1" topLeftCell="A2" activePane="bottomLeft" state="frozen"/>
      <selection pane="bottomLeft" activeCell="B53" sqref="B53"/>
    </sheetView>
  </sheetViews>
  <sheetFormatPr baseColWidth="10" defaultColWidth="8.6640625" defaultRowHeight="15" x14ac:dyDescent="0.2"/>
  <cols>
    <col min="1" max="1" width="2.5" customWidth="1"/>
    <col min="2" max="2" width="34" customWidth="1"/>
    <col min="3" max="3" width="17" customWidth="1"/>
    <col min="4" max="4" width="2.5" customWidth="1"/>
    <col min="5" max="5" width="34" customWidth="1"/>
    <col min="6" max="6" width="17" customWidth="1"/>
    <col min="7" max="7" width="2.5" customWidth="1"/>
    <col min="8" max="8" width="50" customWidth="1"/>
  </cols>
  <sheetData>
    <row r="1" spans="2:8" ht="15" customHeight="1" x14ac:dyDescent="0.2">
      <c r="B1" s="6" t="s">
        <v>0</v>
      </c>
      <c r="C1" s="6"/>
      <c r="D1" s="6"/>
      <c r="E1" s="6"/>
      <c r="F1" s="6"/>
    </row>
    <row r="2" spans="2:8" ht="15" customHeight="1" x14ac:dyDescent="0.2">
      <c r="B2" s="5" t="s">
        <v>1</v>
      </c>
      <c r="C2" s="5"/>
      <c r="D2" s="5"/>
      <c r="E2" s="5"/>
      <c r="F2" s="5"/>
      <c r="H2" s="7" t="s">
        <v>2</v>
      </c>
    </row>
    <row r="3" spans="2:8" ht="15" customHeight="1" x14ac:dyDescent="0.2">
      <c r="B3" s="8" t="s">
        <v>3</v>
      </c>
      <c r="C3" s="9">
        <v>1175000</v>
      </c>
      <c r="E3" s="8" t="s">
        <v>4</v>
      </c>
      <c r="F3" s="10">
        <v>6</v>
      </c>
    </row>
    <row r="4" spans="2:8" ht="15" customHeight="1" x14ac:dyDescent="0.2">
      <c r="B4" s="8" t="s">
        <v>5</v>
      </c>
      <c r="C4" s="10" t="s">
        <v>6</v>
      </c>
      <c r="E4" s="8" t="s">
        <v>7</v>
      </c>
      <c r="F4" s="11">
        <v>1000</v>
      </c>
    </row>
    <row r="5" spans="2:8" ht="15" customHeight="1" x14ac:dyDescent="0.2">
      <c r="B5" s="8" t="s">
        <v>8</v>
      </c>
      <c r="C5" s="9">
        <v>969400</v>
      </c>
      <c r="E5" s="8" t="s">
        <v>9</v>
      </c>
      <c r="F5" s="12">
        <v>2.5000000000000001E-2</v>
      </c>
    </row>
    <row r="6" spans="2:8" ht="15" customHeight="1" x14ac:dyDescent="0.2">
      <c r="B6" s="8" t="s">
        <v>10</v>
      </c>
      <c r="C6" s="13">
        <f>C3/F3</f>
        <v>195833.33333333334</v>
      </c>
      <c r="E6" s="8" t="s">
        <v>11</v>
      </c>
      <c r="F6" s="13">
        <f>F5*C3</f>
        <v>29375</v>
      </c>
    </row>
    <row r="7" spans="2:8" ht="15" customHeight="1" x14ac:dyDescent="0.2">
      <c r="B7" s="14" t="s">
        <v>12</v>
      </c>
      <c r="C7" s="15">
        <f>C3/C5-1</f>
        <v>0.21208995254796781</v>
      </c>
      <c r="E7" s="8" t="s">
        <v>13</v>
      </c>
      <c r="F7" s="16">
        <f>C3+F6</f>
        <v>1204375</v>
      </c>
    </row>
    <row r="9" spans="2:8" ht="15" customHeight="1" x14ac:dyDescent="0.2">
      <c r="B9" s="5" t="s">
        <v>14</v>
      </c>
      <c r="C9" s="5"/>
      <c r="D9" s="5"/>
      <c r="E9" s="5"/>
      <c r="F9" s="5"/>
    </row>
    <row r="10" spans="2:8" ht="15" customHeight="1" x14ac:dyDescent="0.2">
      <c r="B10" s="8" t="s">
        <v>15</v>
      </c>
      <c r="C10" s="9">
        <v>1000</v>
      </c>
      <c r="E10" s="8" t="s">
        <v>16</v>
      </c>
      <c r="F10" s="12">
        <v>0.05</v>
      </c>
    </row>
    <row r="11" spans="2:8" ht="15" customHeight="1" x14ac:dyDescent="0.2">
      <c r="B11" s="8" t="s">
        <v>17</v>
      </c>
      <c r="C11" s="13">
        <f>C10*F3*12</f>
        <v>72000</v>
      </c>
      <c r="E11" s="8" t="s">
        <v>18</v>
      </c>
      <c r="F11" s="9">
        <v>0</v>
      </c>
    </row>
    <row r="12" spans="2:8" ht="15" customHeight="1" x14ac:dyDescent="0.2">
      <c r="B12" s="8" t="s">
        <v>19</v>
      </c>
      <c r="C12" s="16">
        <f>C11*(1-F10)+F11</f>
        <v>68400</v>
      </c>
      <c r="E12" s="8" t="s">
        <v>20</v>
      </c>
      <c r="F12" s="17">
        <f>C10/F4</f>
        <v>1</v>
      </c>
    </row>
    <row r="13" spans="2:8" ht="15" customHeight="1" x14ac:dyDescent="0.2">
      <c r="B13" s="8" t="s">
        <v>21</v>
      </c>
      <c r="C13" s="12">
        <v>0.3</v>
      </c>
      <c r="F13" s="18"/>
      <c r="H13" s="7" t="s">
        <v>22</v>
      </c>
    </row>
    <row r="14" spans="2:8" ht="15" customHeight="1" x14ac:dyDescent="0.2">
      <c r="B14" s="8" t="s">
        <v>23</v>
      </c>
      <c r="C14" s="13">
        <f>C13*C12</f>
        <v>20520</v>
      </c>
      <c r="F14" s="18"/>
    </row>
    <row r="15" spans="2:8" ht="15" customHeight="1" x14ac:dyDescent="0.2">
      <c r="B15" s="8" t="s">
        <v>24</v>
      </c>
      <c r="C15" s="19">
        <f>C12-C14</f>
        <v>47880</v>
      </c>
      <c r="E15" s="8" t="s">
        <v>25</v>
      </c>
      <c r="F15" s="20">
        <f>C15/C3</f>
        <v>4.0748936170212767E-2</v>
      </c>
    </row>
    <row r="17" spans="2:8" ht="15" customHeight="1" x14ac:dyDescent="0.2">
      <c r="B17" s="5" t="s">
        <v>26</v>
      </c>
      <c r="C17" s="5"/>
      <c r="D17" s="5"/>
      <c r="E17" s="5"/>
      <c r="F17" s="5"/>
    </row>
    <row r="18" spans="2:8" ht="15" customHeight="1" x14ac:dyDescent="0.2">
      <c r="B18" s="8" t="s">
        <v>27</v>
      </c>
      <c r="C18" s="9">
        <v>1450</v>
      </c>
      <c r="E18" s="8" t="s">
        <v>28</v>
      </c>
      <c r="F18" s="12">
        <v>0.02</v>
      </c>
    </row>
    <row r="19" spans="2:8" ht="15" customHeight="1" x14ac:dyDescent="0.2">
      <c r="B19" s="8" t="s">
        <v>29</v>
      </c>
      <c r="C19" s="10">
        <v>5</v>
      </c>
      <c r="E19" s="8" t="s">
        <v>30</v>
      </c>
      <c r="F19" s="12">
        <v>0.05</v>
      </c>
    </row>
    <row r="20" spans="2:8" ht="15" customHeight="1" x14ac:dyDescent="0.2">
      <c r="B20" s="8" t="s">
        <v>31</v>
      </c>
      <c r="C20" s="13">
        <f>C18*(1+F18)^C19</f>
        <v>1600.91716464</v>
      </c>
      <c r="E20" s="8" t="s">
        <v>32</v>
      </c>
      <c r="F20" s="12">
        <v>0.3</v>
      </c>
    </row>
    <row r="21" spans="2:8" ht="15" customHeight="1" x14ac:dyDescent="0.2">
      <c r="B21" s="8" t="s">
        <v>33</v>
      </c>
      <c r="C21" s="13">
        <f>C20*F3*12</f>
        <v>115266.03585407999</v>
      </c>
      <c r="E21" s="8" t="s">
        <v>34</v>
      </c>
      <c r="F21" s="17">
        <f>C18/F4</f>
        <v>1.45</v>
      </c>
    </row>
    <row r="22" spans="2:8" ht="15" customHeight="1" x14ac:dyDescent="0.2">
      <c r="B22" s="8" t="s">
        <v>35</v>
      </c>
      <c r="C22" s="13">
        <f>C21*(1-F19)+F11</f>
        <v>109502.73406137599</v>
      </c>
      <c r="E22" s="14" t="s">
        <v>36</v>
      </c>
      <c r="F22" s="21">
        <v>0.17499999999999999</v>
      </c>
      <c r="H22" s="22" t="s">
        <v>37</v>
      </c>
    </row>
    <row r="23" spans="2:8" ht="15" customHeight="1" x14ac:dyDescent="0.2">
      <c r="B23" s="8" t="s">
        <v>38</v>
      </c>
      <c r="C23" s="13">
        <f>F20*C22</f>
        <v>32850.820218412795</v>
      </c>
      <c r="F23" s="18"/>
    </row>
    <row r="24" spans="2:8" ht="15" customHeight="1" x14ac:dyDescent="0.2">
      <c r="B24" s="8" t="s">
        <v>39</v>
      </c>
      <c r="C24" s="19">
        <f>C22-C23</f>
        <v>76651.9138429632</v>
      </c>
      <c r="E24" s="8" t="s">
        <v>40</v>
      </c>
      <c r="F24" s="20">
        <f>IFERROR(C24/(F7+C31),0)</f>
        <v>6.0624351037440002E-2</v>
      </c>
      <c r="H24" s="7" t="s">
        <v>41</v>
      </c>
    </row>
    <row r="26" spans="2:8" ht="15" customHeight="1" x14ac:dyDescent="0.2">
      <c r="B26" s="5" t="s">
        <v>42</v>
      </c>
      <c r="C26" s="5"/>
      <c r="D26" s="5"/>
      <c r="E26" s="5"/>
      <c r="F26" s="5"/>
    </row>
    <row r="27" spans="2:8" ht="15" customHeight="1" x14ac:dyDescent="0.2">
      <c r="B27" s="8" t="s">
        <v>43</v>
      </c>
      <c r="C27" s="9">
        <v>20000</v>
      </c>
      <c r="E27" s="8" t="s">
        <v>44</v>
      </c>
      <c r="F27" s="12">
        <v>0.5</v>
      </c>
      <c r="H27" s="7" t="s">
        <v>45</v>
      </c>
    </row>
    <row r="28" spans="2:8" ht="15" customHeight="1" x14ac:dyDescent="0.2">
      <c r="B28" s="8" t="s">
        <v>46</v>
      </c>
      <c r="C28" s="13">
        <f>C27*F3*F27</f>
        <v>60000</v>
      </c>
      <c r="E28" s="8" t="s">
        <v>47</v>
      </c>
      <c r="F28" s="17">
        <f>C28/(F4*F3)</f>
        <v>10</v>
      </c>
    </row>
    <row r="29" spans="2:8" ht="15" customHeight="1" x14ac:dyDescent="0.2">
      <c r="B29" s="8" t="s">
        <v>48</v>
      </c>
      <c r="C29" s="10">
        <v>0</v>
      </c>
      <c r="E29" s="8" t="s">
        <v>49</v>
      </c>
      <c r="F29" s="12">
        <v>0.2</v>
      </c>
      <c r="H29" s="7" t="s">
        <v>50</v>
      </c>
    </row>
    <row r="30" spans="2:8" ht="15" customHeight="1" x14ac:dyDescent="0.2">
      <c r="B30" s="8" t="s">
        <v>51</v>
      </c>
      <c r="C30" s="13">
        <f>C29*C10*F3*F29</f>
        <v>0</v>
      </c>
      <c r="F30" s="18"/>
      <c r="H30" s="22" t="s">
        <v>52</v>
      </c>
    </row>
    <row r="31" spans="2:8" ht="15" customHeight="1" x14ac:dyDescent="0.2">
      <c r="B31" s="8" t="s">
        <v>53</v>
      </c>
      <c r="C31" s="16">
        <f>C28+C30</f>
        <v>60000</v>
      </c>
      <c r="F31" s="18"/>
    </row>
    <row r="33" spans="2:8" ht="15" customHeight="1" x14ac:dyDescent="0.2">
      <c r="B33" s="5" t="s">
        <v>54</v>
      </c>
      <c r="C33" s="5"/>
      <c r="D33" s="5"/>
      <c r="E33" s="5"/>
      <c r="F33" s="5"/>
      <c r="H33" s="7" t="s">
        <v>55</v>
      </c>
    </row>
    <row r="34" spans="2:8" ht="15" customHeight="1" x14ac:dyDescent="0.2">
      <c r="B34" s="4" t="s">
        <v>56</v>
      </c>
      <c r="C34" s="4"/>
      <c r="E34" s="4" t="s">
        <v>57</v>
      </c>
      <c r="F34" s="4"/>
    </row>
    <row r="35" spans="2:8" ht="15" customHeight="1" x14ac:dyDescent="0.2">
      <c r="B35" s="8" t="s">
        <v>58</v>
      </c>
      <c r="C35" s="10" t="s">
        <v>59</v>
      </c>
      <c r="E35" s="8" t="s">
        <v>60</v>
      </c>
      <c r="F35" s="23">
        <v>4.2500000000000003E-2</v>
      </c>
      <c r="H35" s="7" t="s">
        <v>61</v>
      </c>
    </row>
    <row r="36" spans="2:8" ht="15" customHeight="1" x14ac:dyDescent="0.2">
      <c r="B36" s="8" t="s">
        <v>62</v>
      </c>
      <c r="C36" s="10" t="s">
        <v>63</v>
      </c>
      <c r="E36" s="8" t="s">
        <v>64</v>
      </c>
      <c r="F36" s="10">
        <v>5</v>
      </c>
      <c r="H36" s="7" t="s">
        <v>65</v>
      </c>
    </row>
    <row r="37" spans="2:8" ht="15" customHeight="1" x14ac:dyDescent="0.2">
      <c r="B37" s="8" t="s">
        <v>66</v>
      </c>
      <c r="C37" s="10" t="s">
        <v>67</v>
      </c>
      <c r="E37" s="8" t="s">
        <v>68</v>
      </c>
      <c r="F37" s="10">
        <v>40</v>
      </c>
    </row>
    <row r="38" spans="2:8" ht="15" customHeight="1" x14ac:dyDescent="0.2">
      <c r="B38" s="8" t="s">
        <v>69</v>
      </c>
      <c r="C38" s="10">
        <v>50</v>
      </c>
      <c r="E38" s="8" t="s">
        <v>70</v>
      </c>
      <c r="F38" s="24">
        <f>IF(C35="MLI Market",40,IF(C38&gt;=100,50,IF(C38&gt;=70,45,IF(C38&gt;=50,40,40))))</f>
        <v>40</v>
      </c>
      <c r="H38" s="7" t="s">
        <v>71</v>
      </c>
    </row>
    <row r="39" spans="2:8" ht="15" customHeight="1" x14ac:dyDescent="0.2">
      <c r="B39" s="8" t="s">
        <v>72</v>
      </c>
      <c r="C39" s="24" t="str">
        <f>IF(C35="MLI Market","N/A",IF(C38&gt;=100,"Tier 3: 100+ pts",IF(C38&gt;=70,"Tier 2: 70+ pts",IF(C38&gt;=50,"Tier 1: 50+ pts","INSUFFISANT"))))</f>
        <v>N/A</v>
      </c>
      <c r="E39" s="8" t="s">
        <v>73</v>
      </c>
      <c r="F39" s="25">
        <f>MIN(F37,F38)</f>
        <v>40</v>
      </c>
      <c r="H39" s="7" t="s">
        <v>74</v>
      </c>
    </row>
    <row r="40" spans="2:8" ht="15" customHeight="1" x14ac:dyDescent="0.2">
      <c r="B40" s="8" t="s">
        <v>75</v>
      </c>
      <c r="C40" s="12">
        <v>0.85</v>
      </c>
      <c r="E40" s="8" t="s">
        <v>76</v>
      </c>
      <c r="F40" s="26">
        <f>(1+F35/2)^(1/6)-1</f>
        <v>3.5107093533737199E-3</v>
      </c>
    </row>
    <row r="42" spans="2:8" ht="15" customHeight="1" x14ac:dyDescent="0.2">
      <c r="B42" s="3" t="s">
        <v>77</v>
      </c>
      <c r="C42" s="3"/>
      <c r="D42" s="3"/>
      <c r="E42" s="3"/>
      <c r="F42" s="3"/>
    </row>
    <row r="43" spans="2:8" ht="15" customHeight="1" x14ac:dyDescent="0.2">
      <c r="B43" s="8" t="s">
        <v>78</v>
      </c>
      <c r="C43" s="15">
        <f>IF(C35="MLI Market",0.85,IF(C38&gt;=50,0.9,0.85))</f>
        <v>0.85</v>
      </c>
      <c r="E43" s="8" t="s">
        <v>79</v>
      </c>
      <c r="F43" s="27">
        <f>IF(C35="MLI Select",IF(C36="Standard Rental",1.1,1.2),IF(C36="Standard Rental",IF(F36=5,1.3,1.2),IF(F36=5,1.3,1.2)))</f>
        <v>1.3</v>
      </c>
    </row>
    <row r="44" spans="2:8" ht="15" customHeight="1" x14ac:dyDescent="0.2">
      <c r="B44" s="8" t="s">
        <v>80</v>
      </c>
      <c r="C44" s="15">
        <f>MIN(C40,C43)</f>
        <v>0.85</v>
      </c>
      <c r="E44" s="8" t="s">
        <v>81</v>
      </c>
      <c r="F44" s="28">
        <f>IFERROR(12*F40*(1+F40)^(F39*12)/((1+F40)^(F39*12)-1),0)</f>
        <v>5.1752791524968061E-2</v>
      </c>
    </row>
    <row r="45" spans="2:8" ht="15" customHeight="1" x14ac:dyDescent="0.2">
      <c r="B45" s="8" t="s">
        <v>82</v>
      </c>
      <c r="C45" s="13">
        <f>C3*C44</f>
        <v>998750</v>
      </c>
      <c r="E45" s="8" t="s">
        <v>83</v>
      </c>
      <c r="F45" s="13">
        <f>IFERROR(C15/(F43*F44),0)</f>
        <v>711667.29649743193</v>
      </c>
    </row>
    <row r="46" spans="2:8" ht="15" customHeight="1" x14ac:dyDescent="0.2">
      <c r="B46" s="29" t="s">
        <v>84</v>
      </c>
      <c r="C46" s="30" t="str">
        <f>IF(F45&lt;C45,"DSCR (Revenu)","LTV (Actif)")</f>
        <v>DSCR (Revenu)</v>
      </c>
      <c r="E46" s="29" t="s">
        <v>85</v>
      </c>
      <c r="F46" s="19">
        <f>MIN(C45,F45)</f>
        <v>711667.29649743193</v>
      </c>
    </row>
    <row r="47" spans="2:8" ht="15" customHeight="1" x14ac:dyDescent="0.2">
      <c r="B47" s="8" t="s">
        <v>86</v>
      </c>
      <c r="C47" s="15">
        <f>IFERROR(F46/C3,0)</f>
        <v>0.60567429489143143</v>
      </c>
      <c r="E47" s="8" t="s">
        <v>87</v>
      </c>
      <c r="F47" s="27">
        <f>IFERROR(C15/(F46*F44),0)</f>
        <v>1.3</v>
      </c>
    </row>
    <row r="48" spans="2:8" ht="15" customHeight="1" x14ac:dyDescent="0.2">
      <c r="B48" s="8" t="s">
        <v>88</v>
      </c>
      <c r="C48" s="16">
        <f>C3-F46</f>
        <v>463332.70350256807</v>
      </c>
      <c r="E48" s="8" t="s">
        <v>89</v>
      </c>
      <c r="F48" s="15">
        <f>IFERROR(C48/C3,0)</f>
        <v>0.39432570510856857</v>
      </c>
    </row>
    <row r="49" spans="2:8" ht="15" customHeight="1" x14ac:dyDescent="0.2">
      <c r="B49" s="8" t="s">
        <v>90</v>
      </c>
      <c r="C49" s="13">
        <f>F46*F44/12</f>
        <v>3069.2307692307691</v>
      </c>
      <c r="E49" s="8" t="s">
        <v>91</v>
      </c>
      <c r="F49" s="13">
        <f>C49*12</f>
        <v>36830.769230769227</v>
      </c>
    </row>
    <row r="51" spans="2:8" ht="15" customHeight="1" x14ac:dyDescent="0.2">
      <c r="B51" s="3" t="s">
        <v>92</v>
      </c>
      <c r="C51" s="3"/>
      <c r="D51" s="3"/>
      <c r="E51" s="3"/>
      <c r="F51" s="3"/>
    </row>
    <row r="52" spans="2:8" ht="15" customHeight="1" x14ac:dyDescent="0.2">
      <c r="B52" s="8" t="s">
        <v>93</v>
      </c>
      <c r="C52" s="28">
        <f>C47</f>
        <v>0.60567429489143143</v>
      </c>
      <c r="E52" s="8" t="s">
        <v>94</v>
      </c>
      <c r="F52" s="28">
        <f>IF(C36="Standard Rental",IF(C37="Construction Financing",IF(C52&lt;=0.65,0.0325,IF(C52&lt;=0.7,0.0375,IF(C52&lt;=0.75,0.0425,IF(C52&lt;=0.8,0.05,IF(C52&lt;=0.85,0.06,IF(C52&lt;=0.9,0.0675,0.07)))))),IF(C52&lt;=0.65,0.026,IF(C52&lt;=0.7,0.0285,IF(C52&lt;=0.75,0.0335,IF(C52&lt;=0.8,0.0435,IF(C52&lt;=0.85,0.0535,IF(C52&lt;=0.9,0.059,0.0615))))))),IF(C37="Construction Financing",IF(C52&lt;=0.65,0.0655,IF(C52&lt;=0.7,0.0685,IF(C52&lt;=0.75,0.0715,IF(C52&lt;=0.8,0.073,IF(C52&lt;=0.85,0.08,IF(C52&lt;=0.9,0.0825,0.09)))))),IF(C52&lt;=0.65,0.063,IF(C52&lt;=0.7,0.066,IF(C52&lt;=0.75,0.069,IF(C52&lt;=0.8,0.0705,IF(C52&lt;=0.85,0.0775,IF(C52&lt;=0.9,0.08,0.0875))))))))</f>
        <v>2.5999999999999999E-2</v>
      </c>
    </row>
    <row r="53" spans="2:8" ht="15" customHeight="1" x14ac:dyDescent="0.2">
      <c r="B53" s="8" t="s">
        <v>95</v>
      </c>
      <c r="C53" s="28">
        <f>MAX(0,INT((F39-25)/5))*0.0025</f>
        <v>7.4999999999999997E-3</v>
      </c>
      <c r="E53" s="8" t="s">
        <v>96</v>
      </c>
      <c r="F53" s="15">
        <f>IF(C35="MLI Select",IF(C38&gt;=100,0.3,IF(C38&gt;=70,0.2,IF(C38&gt;=50,0.1,0))),0)</f>
        <v>0</v>
      </c>
      <c r="H53" s="7" t="s">
        <v>97</v>
      </c>
    </row>
    <row r="54" spans="2:8" ht="15" customHeight="1" x14ac:dyDescent="0.2">
      <c r="B54" s="8" t="s">
        <v>98</v>
      </c>
      <c r="C54" s="13">
        <f>(F52+C53)*F46</f>
        <v>23840.854432663971</v>
      </c>
      <c r="E54" s="8" t="s">
        <v>99</v>
      </c>
      <c r="F54" s="13">
        <f>C54*F53</f>
        <v>0</v>
      </c>
    </row>
    <row r="55" spans="2:8" ht="15" customHeight="1" x14ac:dyDescent="0.2">
      <c r="B55" s="8" t="s">
        <v>100</v>
      </c>
      <c r="C55" s="19">
        <f>C54-F54</f>
        <v>23840.854432663971</v>
      </c>
      <c r="F55" s="18"/>
    </row>
    <row r="56" spans="2:8" ht="15" customHeight="1" x14ac:dyDescent="0.2">
      <c r="B56" s="8" t="s">
        <v>101</v>
      </c>
      <c r="C56" s="10" t="s">
        <v>102</v>
      </c>
      <c r="E56" s="8" t="s">
        <v>103</v>
      </c>
      <c r="F56" s="13">
        <f>IF(C56="Quebec",C55*0.09975,IF(OR(C56="Ontario",C56="Manitoba",C56="Saskatchewan"),C55*0.08,0))</f>
        <v>2378.1252296582311</v>
      </c>
      <c r="H56" s="7" t="s">
        <v>104</v>
      </c>
    </row>
    <row r="57" spans="2:8" ht="15" customHeight="1" x14ac:dyDescent="0.2">
      <c r="B57" s="8" t="s">
        <v>105</v>
      </c>
      <c r="C57" s="16">
        <f>F46+C55</f>
        <v>735508.15093009593</v>
      </c>
      <c r="E57" s="8" t="s">
        <v>106</v>
      </c>
      <c r="F57" s="13">
        <f>C57*F44/12</f>
        <v>3172.0499999999997</v>
      </c>
    </row>
    <row r="58" spans="2:8" ht="15" customHeight="1" x14ac:dyDescent="0.2">
      <c r="B58" s="8" t="s">
        <v>107</v>
      </c>
      <c r="C58" s="31">
        <f>IFERROR(C15/(F57*12),0)</f>
        <v>1.2578616352201257</v>
      </c>
      <c r="E58" s="8" t="s">
        <v>108</v>
      </c>
      <c r="F58" s="13">
        <f>F57*12</f>
        <v>38064.6</v>
      </c>
      <c r="H58" s="7" t="s">
        <v>109</v>
      </c>
    </row>
    <row r="60" spans="2:8" ht="15" customHeight="1" x14ac:dyDescent="0.2">
      <c r="B60" s="5" t="s">
        <v>110</v>
      </c>
      <c r="C60" s="5"/>
      <c r="D60" s="5"/>
      <c r="E60" s="5"/>
      <c r="F60" s="5"/>
      <c r="H60" s="7" t="s">
        <v>111</v>
      </c>
    </row>
    <row r="61" spans="2:8" ht="15" customHeight="1" x14ac:dyDescent="0.2">
      <c r="B61" s="8" t="s">
        <v>112</v>
      </c>
      <c r="C61" s="12">
        <v>1</v>
      </c>
      <c r="E61" s="8" t="s">
        <v>113</v>
      </c>
      <c r="F61" s="12">
        <v>0.14000000000000001</v>
      </c>
    </row>
    <row r="62" spans="2:8" ht="15" customHeight="1" x14ac:dyDescent="0.2">
      <c r="B62" s="8" t="s">
        <v>114</v>
      </c>
      <c r="C62" s="13">
        <f>(1-C61)*C31</f>
        <v>0</v>
      </c>
      <c r="E62" s="8" t="s">
        <v>115</v>
      </c>
      <c r="F62" s="10">
        <v>2.5</v>
      </c>
    </row>
    <row r="63" spans="2:8" ht="15" customHeight="1" x14ac:dyDescent="0.2">
      <c r="B63" s="8" t="s">
        <v>116</v>
      </c>
      <c r="C63" s="13">
        <f>C61*C31</f>
        <v>60000</v>
      </c>
      <c r="E63" s="8" t="s">
        <v>117</v>
      </c>
      <c r="F63" s="32">
        <f>F62*F61*C63</f>
        <v>21000.000000000004</v>
      </c>
    </row>
    <row r="65" spans="2:8" ht="15" customHeight="1" x14ac:dyDescent="0.2">
      <c r="B65" s="5" t="s">
        <v>118</v>
      </c>
      <c r="C65" s="5"/>
      <c r="D65" s="5"/>
      <c r="E65" s="5"/>
      <c r="F65" s="5"/>
    </row>
    <row r="66" spans="2:8" ht="15" customHeight="1" x14ac:dyDescent="0.2">
      <c r="B66" s="8" t="s">
        <v>119</v>
      </c>
      <c r="C66" s="9">
        <v>50</v>
      </c>
    </row>
    <row r="67" spans="2:8" ht="15" customHeight="1" x14ac:dyDescent="0.2">
      <c r="B67" s="8" t="s">
        <v>120</v>
      </c>
      <c r="C67" s="13">
        <f>C66*F3*C19*12</f>
        <v>18000</v>
      </c>
      <c r="E67" s="8" t="s">
        <v>121</v>
      </c>
      <c r="F67" s="33">
        <f>C67/C19</f>
        <v>3600</v>
      </c>
    </row>
    <row r="68" spans="2:8" ht="15" customHeight="1" x14ac:dyDescent="0.2">
      <c r="B68" s="8" t="s">
        <v>122</v>
      </c>
      <c r="C68" s="15">
        <f>IFERROR(F67/C15,0)</f>
        <v>7.5187969924812026E-2</v>
      </c>
      <c r="E68" s="8" t="s">
        <v>123</v>
      </c>
      <c r="F68" s="33">
        <f>F67/12</f>
        <v>300</v>
      </c>
    </row>
    <row r="70" spans="2:8" ht="15" customHeight="1" x14ac:dyDescent="0.2">
      <c r="B70" s="5" t="s">
        <v>124</v>
      </c>
      <c r="C70" s="5"/>
      <c r="D70" s="5"/>
      <c r="E70" s="5"/>
      <c r="F70" s="5"/>
    </row>
    <row r="71" spans="2:8" ht="15" customHeight="1" x14ac:dyDescent="0.2">
      <c r="B71" s="8" t="s">
        <v>125</v>
      </c>
      <c r="C71" s="13">
        <f>C48</f>
        <v>463332.70350256807</v>
      </c>
    </row>
    <row r="72" spans="2:8" ht="15" customHeight="1" x14ac:dyDescent="0.2">
      <c r="B72" s="8" t="s">
        <v>114</v>
      </c>
      <c r="C72" s="13">
        <f>C62</f>
        <v>0</v>
      </c>
    </row>
    <row r="73" spans="2:8" ht="15" customHeight="1" x14ac:dyDescent="0.2">
      <c r="B73" s="8" t="s">
        <v>126</v>
      </c>
      <c r="C73" s="13">
        <f>F6</f>
        <v>29375</v>
      </c>
    </row>
    <row r="74" spans="2:8" ht="15" customHeight="1" x14ac:dyDescent="0.2">
      <c r="B74" s="8" t="s">
        <v>127</v>
      </c>
      <c r="C74" s="13">
        <f>F56</f>
        <v>2378.1252296582311</v>
      </c>
    </row>
    <row r="75" spans="2:8" ht="15" customHeight="1" x14ac:dyDescent="0.2">
      <c r="B75" s="8" t="s">
        <v>128</v>
      </c>
      <c r="C75" s="19">
        <f>SUM(C71:C74)</f>
        <v>495085.82873222628</v>
      </c>
      <c r="H75" s="7" t="s">
        <v>129</v>
      </c>
    </row>
    <row r="77" spans="2:8" ht="15" customHeight="1" x14ac:dyDescent="0.2">
      <c r="B77" s="5" t="s">
        <v>130</v>
      </c>
      <c r="C77" s="5"/>
      <c r="D77" s="5"/>
      <c r="E77" s="5"/>
      <c r="F77" s="5"/>
    </row>
    <row r="78" spans="2:8" ht="15" customHeight="1" x14ac:dyDescent="0.2">
      <c r="B78" s="8" t="s">
        <v>131</v>
      </c>
      <c r="C78" s="23">
        <v>5.0000000000000001E-3</v>
      </c>
      <c r="F78" s="18"/>
      <c r="H78" s="7" t="s">
        <v>132</v>
      </c>
    </row>
    <row r="79" spans="2:8" ht="15" customHeight="1" x14ac:dyDescent="0.2">
      <c r="B79" s="8" t="s">
        <v>133</v>
      </c>
      <c r="C79" s="28">
        <f>F15+C78</f>
        <v>4.5748936170212764E-2</v>
      </c>
      <c r="F79" s="18"/>
    </row>
    <row r="80" spans="2:8" ht="15" customHeight="1" x14ac:dyDescent="0.2">
      <c r="B80" s="8" t="s">
        <v>134</v>
      </c>
      <c r="C80" s="13">
        <f>C24/C79</f>
        <v>1675490.6290667243</v>
      </c>
      <c r="E80" s="8" t="s">
        <v>135</v>
      </c>
      <c r="F80" s="13">
        <f>C80/F3</f>
        <v>279248.43817778741</v>
      </c>
    </row>
    <row r="81" spans="2:8" ht="15" customHeight="1" x14ac:dyDescent="0.2">
      <c r="B81" s="8" t="s">
        <v>136</v>
      </c>
      <c r="C81" s="13">
        <f>FV(F40,C19*12,F57,-C57)</f>
        <v>696187.14370349492</v>
      </c>
      <c r="F81" s="18"/>
    </row>
    <row r="82" spans="2:8" ht="15" customHeight="1" x14ac:dyDescent="0.2">
      <c r="B82" s="8" t="s">
        <v>137</v>
      </c>
      <c r="C82" s="34">
        <f>-MAX(C81*F35/12*3,IF(C19=F36,0,MAX(F35-F82,0)*C81*(F36-C19)))</f>
        <v>-7396.9884018496341</v>
      </c>
      <c r="E82" s="8" t="s">
        <v>138</v>
      </c>
      <c r="F82" s="23">
        <v>4.2500000000000003E-2</v>
      </c>
      <c r="H82" s="22" t="s">
        <v>139</v>
      </c>
    </row>
    <row r="83" spans="2:8" ht="15" customHeight="1" x14ac:dyDescent="0.2">
      <c r="B83" s="8" t="s">
        <v>140</v>
      </c>
      <c r="C83" s="13">
        <f>C80-F7-C31</f>
        <v>411115.62906672433</v>
      </c>
      <c r="F83" s="18"/>
    </row>
    <row r="84" spans="2:8" ht="15" customHeight="1" x14ac:dyDescent="0.2">
      <c r="B84" s="8" t="s">
        <v>141</v>
      </c>
      <c r="C84" s="35">
        <v>0.33</v>
      </c>
      <c r="E84" s="8" t="s">
        <v>142</v>
      </c>
      <c r="F84" s="12">
        <v>0.02</v>
      </c>
      <c r="H84" s="22" t="s">
        <v>143</v>
      </c>
    </row>
    <row r="85" spans="2:8" ht="15" customHeight="1" x14ac:dyDescent="0.2">
      <c r="B85" s="8" t="s">
        <v>144</v>
      </c>
      <c r="C85" s="34">
        <f>-C84*C83</f>
        <v>-135668.15759201904</v>
      </c>
      <c r="E85" s="8" t="s">
        <v>145</v>
      </c>
      <c r="F85" s="34">
        <f>-F84*C80</f>
        <v>-33509.812581334489</v>
      </c>
    </row>
    <row r="86" spans="2:8" ht="15" customHeight="1" x14ac:dyDescent="0.2">
      <c r="B86" s="8" t="s">
        <v>146</v>
      </c>
      <c r="C86" s="36">
        <v>-1500</v>
      </c>
      <c r="E86" s="14" t="s">
        <v>147</v>
      </c>
      <c r="F86" s="21">
        <v>0.26500000000000001</v>
      </c>
      <c r="H86" s="22" t="s">
        <v>148</v>
      </c>
    </row>
    <row r="87" spans="2:8" ht="15" customHeight="1" x14ac:dyDescent="0.2">
      <c r="B87" s="8" t="s">
        <v>149</v>
      </c>
      <c r="C87" s="32">
        <f>C19*C24+(C15-C24)*(1-F22)*(1-(1-F22)^C19)/F22</f>
        <v>299459.28165465052</v>
      </c>
      <c r="E87" s="8" t="s">
        <v>150</v>
      </c>
      <c r="F87" s="13">
        <f>F58*C19</f>
        <v>190323</v>
      </c>
      <c r="H87" s="22" t="s">
        <v>151</v>
      </c>
    </row>
    <row r="88" spans="2:8" ht="15" customHeight="1" x14ac:dyDescent="0.2">
      <c r="B88" s="8" t="s">
        <v>152</v>
      </c>
      <c r="C88" s="13">
        <f>F63</f>
        <v>21000.000000000004</v>
      </c>
      <c r="E88" s="8" t="s">
        <v>153</v>
      </c>
      <c r="F88" s="13">
        <f>C67</f>
        <v>18000</v>
      </c>
    </row>
    <row r="89" spans="2:8" ht="15" customHeight="1" x14ac:dyDescent="0.2">
      <c r="B89" s="8" t="s">
        <v>154</v>
      </c>
      <c r="C89" s="13">
        <f>C87-F87-C88-F88</f>
        <v>70136.28165465052</v>
      </c>
      <c r="E89" s="14" t="s">
        <v>155</v>
      </c>
      <c r="F89" s="32">
        <f>F87-(C57-C81)</f>
        <v>151001.99277339899</v>
      </c>
      <c r="H89" s="22" t="s">
        <v>156</v>
      </c>
    </row>
    <row r="90" spans="2:8" ht="15" customHeight="1" x14ac:dyDescent="0.2">
      <c r="B90" s="8" t="s">
        <v>157</v>
      </c>
      <c r="C90" s="19">
        <f>C83+C89</f>
        <v>481251.91072137485</v>
      </c>
      <c r="E90" s="14" t="s">
        <v>158</v>
      </c>
      <c r="F90" s="32">
        <f>MAX(C87-F89,0)</f>
        <v>148457.28888125153</v>
      </c>
      <c r="H90" s="22" t="s">
        <v>159</v>
      </c>
    </row>
    <row r="91" spans="2:8" ht="15" customHeight="1" x14ac:dyDescent="0.2">
      <c r="B91" s="8" t="s">
        <v>160</v>
      </c>
      <c r="C91" s="37">
        <f>C90+C85+F85+C86+C82+F91</f>
        <v>263835.77059264004</v>
      </c>
      <c r="E91" s="14" t="s">
        <v>161</v>
      </c>
      <c r="F91" s="38">
        <f>-F86*F90</f>
        <v>-39341.181553531656</v>
      </c>
    </row>
    <row r="93" spans="2:8" ht="15" customHeight="1" x14ac:dyDescent="0.2">
      <c r="B93" s="5" t="s">
        <v>162</v>
      </c>
      <c r="C93" s="5"/>
      <c r="D93" s="5"/>
      <c r="E93" s="5"/>
      <c r="F93" s="5"/>
    </row>
    <row r="94" spans="2:8" ht="15" customHeight="1" x14ac:dyDescent="0.2">
      <c r="B94" s="8" t="s">
        <v>163</v>
      </c>
      <c r="C94" s="13">
        <f>C75</f>
        <v>495085.82873222628</v>
      </c>
    </row>
    <row r="95" spans="2:8" ht="15" customHeight="1" x14ac:dyDescent="0.2">
      <c r="B95" s="8" t="s">
        <v>164</v>
      </c>
      <c r="C95" s="39">
        <f>IFERROR(C91/C94,0)</f>
        <v>0.53290915489996604</v>
      </c>
    </row>
    <row r="96" spans="2:8" ht="15" customHeight="1" x14ac:dyDescent="0.2">
      <c r="B96" s="8" t="s">
        <v>165</v>
      </c>
      <c r="C96" s="39">
        <f>IFERROR((1+C95)^(1/C19)-1,0)</f>
        <v>8.9189092666288161E-2</v>
      </c>
    </row>
    <row r="97" spans="1:8" ht="15" customHeight="1" x14ac:dyDescent="0.2">
      <c r="B97" s="8" t="s">
        <v>166</v>
      </c>
      <c r="C97" s="31">
        <f>IFERROR(C91/C94+1,0)</f>
        <v>1.532909154899966</v>
      </c>
    </row>
    <row r="99" spans="1:8" ht="15" customHeight="1" x14ac:dyDescent="0.2">
      <c r="A99" s="8"/>
      <c r="B99" s="5" t="s">
        <v>167</v>
      </c>
      <c r="C99" s="5"/>
      <c r="D99" s="5"/>
      <c r="E99" s="5"/>
      <c r="F99" s="5"/>
      <c r="G99" s="8"/>
      <c r="H99" s="8"/>
    </row>
    <row r="100" spans="1:8" ht="15" customHeight="1" x14ac:dyDescent="0.2">
      <c r="A100" s="8"/>
      <c r="B100" s="4" t="s">
        <v>168</v>
      </c>
      <c r="C100" s="4"/>
      <c r="D100" s="4"/>
      <c r="E100" s="4"/>
      <c r="F100" s="4"/>
      <c r="G100" s="8"/>
      <c r="H100" s="8"/>
    </row>
    <row r="101" spans="1:8" ht="15" customHeight="1" x14ac:dyDescent="0.2">
      <c r="A101" s="8"/>
      <c r="B101" s="8" t="s">
        <v>169</v>
      </c>
      <c r="C101" s="10" t="s">
        <v>59</v>
      </c>
      <c r="D101" s="8"/>
      <c r="E101" s="8" t="s">
        <v>170</v>
      </c>
      <c r="F101" s="23">
        <v>4.2500000000000003E-2</v>
      </c>
      <c r="G101" s="8"/>
      <c r="H101" s="8"/>
    </row>
    <row r="102" spans="1:8" ht="15" customHeight="1" x14ac:dyDescent="0.2">
      <c r="A102" s="8"/>
      <c r="B102" s="8" t="s">
        <v>171</v>
      </c>
      <c r="C102" s="36" t="s">
        <v>63</v>
      </c>
      <c r="D102" s="8"/>
      <c r="E102" s="8" t="s">
        <v>172</v>
      </c>
      <c r="F102" s="9">
        <v>5</v>
      </c>
      <c r="G102" s="8"/>
      <c r="H102" s="8"/>
    </row>
    <row r="103" spans="1:8" ht="15" customHeight="1" x14ac:dyDescent="0.2">
      <c r="A103" s="8"/>
      <c r="B103" s="8" t="s">
        <v>66</v>
      </c>
      <c r="C103" s="9" t="s">
        <v>67</v>
      </c>
      <c r="D103" s="8"/>
      <c r="E103" s="8" t="s">
        <v>173</v>
      </c>
      <c r="F103" s="9">
        <v>40</v>
      </c>
      <c r="G103" s="8"/>
      <c r="H103" s="8"/>
    </row>
    <row r="104" spans="1:8" ht="15" customHeight="1" x14ac:dyDescent="0.2">
      <c r="A104" s="8"/>
      <c r="B104" s="8" t="s">
        <v>174</v>
      </c>
      <c r="C104" s="10">
        <v>50</v>
      </c>
      <c r="D104" s="8"/>
      <c r="E104" s="8" t="s">
        <v>70</v>
      </c>
      <c r="F104" s="24">
        <f>IF(C101="MLI Market",40,IF(C104&gt;=100,50,IF(C104&gt;=70,45,IF(C104&gt;=50,40,40))))</f>
        <v>40</v>
      </c>
      <c r="G104" s="8"/>
      <c r="H104" s="8"/>
    </row>
    <row r="105" spans="1:8" ht="15" customHeight="1" x14ac:dyDescent="0.2">
      <c r="A105" s="8"/>
      <c r="B105" s="8" t="s">
        <v>175</v>
      </c>
      <c r="C105" s="13" t="str">
        <f>IF(C101="MLI Market","N/A",IF(C104&gt;=100,"Tier 3: 100+ pts",IF(C104&gt;=70,"Tier 2: 70+ pts",IF(C104&gt;=50,"Tier 1: 50+ pts","INSUFFISANT"))))</f>
        <v>N/A</v>
      </c>
      <c r="D105" s="8"/>
      <c r="E105" s="8" t="s">
        <v>176</v>
      </c>
      <c r="F105" s="16">
        <f>MIN(F103,F104)</f>
        <v>40</v>
      </c>
      <c r="G105" s="8"/>
      <c r="H105" s="8"/>
    </row>
    <row r="106" spans="1:8" ht="15" customHeight="1" x14ac:dyDescent="0.2">
      <c r="A106" s="8"/>
      <c r="B106" s="8" t="s">
        <v>177</v>
      </c>
      <c r="C106" s="12">
        <v>0.75</v>
      </c>
      <c r="D106" s="8"/>
      <c r="E106" s="8" t="s">
        <v>178</v>
      </c>
      <c r="F106" s="26">
        <f>(1+F101/2)^(1/6)-1</f>
        <v>3.5107093533737199E-3</v>
      </c>
      <c r="G106" s="8"/>
      <c r="H106" s="8"/>
    </row>
    <row r="107" spans="1:8" ht="15" customHeight="1" x14ac:dyDescent="0.2">
      <c r="A107" s="8"/>
      <c r="B107" s="8"/>
      <c r="C107" s="33"/>
      <c r="D107" s="8"/>
      <c r="E107" s="8"/>
      <c r="F107" s="33"/>
      <c r="G107" s="8"/>
      <c r="H107" s="8"/>
    </row>
    <row r="108" spans="1:8" ht="15" customHeight="1" x14ac:dyDescent="0.2">
      <c r="A108" s="8"/>
      <c r="B108" s="3" t="s">
        <v>179</v>
      </c>
      <c r="C108" s="3"/>
      <c r="D108" s="3"/>
      <c r="E108" s="3"/>
      <c r="F108" s="3"/>
      <c r="G108" s="8"/>
      <c r="H108" s="8"/>
    </row>
    <row r="109" spans="1:8" ht="15" customHeight="1" x14ac:dyDescent="0.2">
      <c r="A109" s="8"/>
      <c r="B109" s="8" t="s">
        <v>180</v>
      </c>
      <c r="C109" s="32">
        <f>C24/F109</f>
        <v>1613724.5019571199</v>
      </c>
      <c r="D109" s="8"/>
      <c r="E109" s="14" t="s">
        <v>181</v>
      </c>
      <c r="F109" s="40">
        <v>4.7500000000000001E-2</v>
      </c>
      <c r="G109" s="8"/>
      <c r="H109" s="22" t="s">
        <v>182</v>
      </c>
    </row>
    <row r="110" spans="1:8" ht="15" customHeight="1" x14ac:dyDescent="0.2">
      <c r="A110" s="8"/>
      <c r="B110" s="8" t="s">
        <v>183</v>
      </c>
      <c r="C110" s="41">
        <f>C24</f>
        <v>76651.9138429632</v>
      </c>
      <c r="D110" s="8"/>
      <c r="E110" s="8"/>
      <c r="F110" s="8"/>
      <c r="G110" s="8"/>
      <c r="H110" s="7" t="s">
        <v>184</v>
      </c>
    </row>
    <row r="111" spans="1:8" ht="15" customHeight="1" x14ac:dyDescent="0.2">
      <c r="A111" s="8"/>
      <c r="B111" s="8"/>
      <c r="C111" s="33"/>
      <c r="D111" s="8"/>
      <c r="E111" s="8"/>
      <c r="F111" s="8"/>
      <c r="G111" s="8"/>
      <c r="H111" s="8"/>
    </row>
    <row r="112" spans="1:8" ht="15" customHeight="1" x14ac:dyDescent="0.2">
      <c r="A112" s="8"/>
      <c r="B112" s="2" t="s">
        <v>185</v>
      </c>
      <c r="C112" s="2"/>
      <c r="D112" s="2"/>
      <c r="E112" s="2"/>
      <c r="F112" s="2"/>
      <c r="G112" s="8"/>
      <c r="H112" s="8"/>
    </row>
    <row r="113" spans="1:8" ht="15" customHeight="1" x14ac:dyDescent="0.2">
      <c r="A113" s="8"/>
      <c r="B113" s="8" t="s">
        <v>78</v>
      </c>
      <c r="C113" s="15">
        <f>IF(C101="MLI Market",0.85,IF(C104&gt;=50,0.9,0.85))</f>
        <v>0.85</v>
      </c>
      <c r="D113" s="24"/>
      <c r="E113" s="8" t="s">
        <v>79</v>
      </c>
      <c r="F113" s="27">
        <f>IF(C101="MLI Select",IF(C102="Standard Rental",1.1,1.2),IF(C102="Standard Rental",IF(F102=5,1.3,1.2),IF(F102=5,1.3,1.2)))</f>
        <v>1.3</v>
      </c>
      <c r="G113" s="8"/>
      <c r="H113" s="8"/>
    </row>
    <row r="114" spans="1:8" ht="15" customHeight="1" x14ac:dyDescent="0.2">
      <c r="A114" s="8"/>
      <c r="B114" s="8" t="s">
        <v>186</v>
      </c>
      <c r="C114" s="15">
        <f>MIN(C106,C113)</f>
        <v>0.75</v>
      </c>
      <c r="D114" s="24"/>
      <c r="E114" s="8" t="s">
        <v>187</v>
      </c>
      <c r="F114" s="28">
        <f>IFERROR(12*F106*(1+F106)^(F105*12)/((1+F106)^(F105*12)-1),0)</f>
        <v>5.1752791524968061E-2</v>
      </c>
      <c r="G114" s="8"/>
      <c r="H114" s="8"/>
    </row>
    <row r="115" spans="1:8" ht="15" customHeight="1" x14ac:dyDescent="0.2">
      <c r="A115" s="8"/>
      <c r="B115" s="8" t="s">
        <v>82</v>
      </c>
      <c r="C115" s="13">
        <f>C109*C114</f>
        <v>1210293.3764678398</v>
      </c>
      <c r="D115" s="24"/>
      <c r="E115" s="8" t="s">
        <v>83</v>
      </c>
      <c r="F115" s="13">
        <f>IFERROR(C110/(F113*F114),0)</f>
        <v>1139320.3904756829</v>
      </c>
      <c r="G115" s="8"/>
      <c r="H115" s="8"/>
    </row>
    <row r="116" spans="1:8" ht="15" customHeight="1" x14ac:dyDescent="0.2">
      <c r="A116" s="8"/>
      <c r="B116" s="29" t="s">
        <v>84</v>
      </c>
      <c r="C116" s="30" t="str">
        <f>IF(F115&lt;C115,"DSCR (Revenu)","LTV (Actif)")</f>
        <v>DSCR (Revenu)</v>
      </c>
      <c r="D116" s="24"/>
      <c r="E116" s="29" t="s">
        <v>188</v>
      </c>
      <c r="F116" s="19">
        <f>MIN(C115,F115)</f>
        <v>1139320.3904756829</v>
      </c>
      <c r="G116" s="8"/>
      <c r="H116" s="8"/>
    </row>
    <row r="117" spans="1:8" ht="15" customHeight="1" x14ac:dyDescent="0.2">
      <c r="A117" s="8"/>
      <c r="B117" s="8" t="s">
        <v>189</v>
      </c>
      <c r="C117" s="15">
        <f>IFERROR(F116/C109,0)</f>
        <v>0.70601914335062699</v>
      </c>
      <c r="D117" s="24"/>
      <c r="E117" s="8" t="s">
        <v>190</v>
      </c>
      <c r="F117" s="27">
        <f>IFERROR(C110/(F116*F114),0)</f>
        <v>1.3</v>
      </c>
      <c r="G117" s="8"/>
      <c r="H117" s="8"/>
    </row>
    <row r="118" spans="1:8" ht="15" customHeight="1" x14ac:dyDescent="0.2">
      <c r="A118" s="8"/>
      <c r="B118" s="8"/>
      <c r="C118" s="33"/>
      <c r="D118" s="8"/>
      <c r="E118" s="8"/>
      <c r="F118" s="8"/>
      <c r="G118" s="8"/>
      <c r="H118" s="8"/>
    </row>
    <row r="119" spans="1:8" ht="15" customHeight="1" x14ac:dyDescent="0.2">
      <c r="A119" s="8"/>
      <c r="B119" s="2" t="s">
        <v>191</v>
      </c>
      <c r="C119" s="2"/>
      <c r="D119" s="2"/>
      <c r="E119" s="2"/>
      <c r="F119" s="2"/>
      <c r="G119" s="8"/>
      <c r="H119" s="8"/>
    </row>
    <row r="120" spans="1:8" ht="15" customHeight="1" x14ac:dyDescent="0.2">
      <c r="A120" s="8"/>
      <c r="B120" s="8" t="s">
        <v>93</v>
      </c>
      <c r="C120" s="28">
        <f>C117</f>
        <v>0.70601914335062699</v>
      </c>
      <c r="D120" s="8"/>
      <c r="E120" s="8" t="s">
        <v>94</v>
      </c>
      <c r="F120" s="28">
        <f>IF(C102="Standard Rental",IF(C103="Construction Financing",IF(C120&lt;=0.65,0.0325,IF(C120&lt;=0.7,0.0375,IF(C120&lt;=0.75,0.0425,IF(C120&lt;=0.8,0.05,IF(C120&lt;=0.85,0.06,IF(C120&lt;=0.9,0.0675,0.07)))))),IF(C120&lt;=0.65,0.026,IF(C120&lt;=0.7,0.0285,IF(C120&lt;=0.75,0.0335,IF(C120&lt;=0.8,0.0435,IF(C120&lt;=0.85,0.0535,IF(C120&lt;=0.9,0.059,0.0615))))))),IF(C103="Construction Financing",IF(C120&lt;=0.65,0.0655,IF(C120&lt;=0.7,0.0685,IF(C120&lt;=0.75,0.0715,IF(C120&lt;=0.8,0.073,IF(C120&lt;=0.85,0.08,IF(C120&lt;=0.9,0.0825,0.09)))))),IF(C120&lt;=0.65,0.063,IF(C120&lt;=0.7,0.066,IF(C120&lt;=0.75,0.069,IF(C120&lt;=0.8,0.0705,IF(C120&lt;=0.85,0.0775,IF(C120&lt;=0.9,0.08,0.0875))))))))</f>
        <v>3.3500000000000002E-2</v>
      </c>
      <c r="G120" s="8"/>
      <c r="H120" s="8"/>
    </row>
    <row r="121" spans="1:8" ht="15" customHeight="1" x14ac:dyDescent="0.2">
      <c r="A121" s="8"/>
      <c r="B121" s="8" t="s">
        <v>95</v>
      </c>
      <c r="C121" s="28">
        <f>MAX(0,INT((F105-25)/5))*0.0025</f>
        <v>7.4999999999999997E-3</v>
      </c>
      <c r="D121" s="8"/>
      <c r="E121" s="8" t="s">
        <v>96</v>
      </c>
      <c r="F121" s="15">
        <f>IF(C101="MLI Select",IF(C104&gt;=100,0.3,IF(C104&gt;=70,0.2,IF(C104&gt;=50,0.1,0))),0)</f>
        <v>0</v>
      </c>
      <c r="G121" s="8"/>
      <c r="H121" s="8"/>
    </row>
    <row r="122" spans="1:8" ht="15" customHeight="1" x14ac:dyDescent="0.2">
      <c r="A122" s="8"/>
      <c r="B122" s="8" t="s">
        <v>98</v>
      </c>
      <c r="C122" s="13">
        <f>(F120+C121)*F116</f>
        <v>46712.136009503003</v>
      </c>
      <c r="D122" s="8"/>
      <c r="E122" s="8" t="s">
        <v>99</v>
      </c>
      <c r="F122" s="13">
        <f>C122*F121</f>
        <v>0</v>
      </c>
      <c r="G122" s="8"/>
      <c r="H122" s="8"/>
    </row>
    <row r="123" spans="1:8" ht="15" customHeight="1" x14ac:dyDescent="0.2">
      <c r="A123" s="8"/>
      <c r="B123" s="8" t="s">
        <v>192</v>
      </c>
      <c r="C123" s="19">
        <f>C122-F122</f>
        <v>46712.136009503003</v>
      </c>
      <c r="D123" s="8"/>
      <c r="E123" s="8"/>
      <c r="F123" s="15"/>
      <c r="G123" s="8"/>
      <c r="H123" s="8"/>
    </row>
    <row r="124" spans="1:8" ht="15" customHeight="1" x14ac:dyDescent="0.2">
      <c r="A124" s="8"/>
      <c r="B124" s="8" t="s">
        <v>193</v>
      </c>
      <c r="C124" s="13">
        <f>IF(C56="Quebec",C123*0.09975,IF(OR(C56="Ontario",C56="Manitoba",C56="Saskatchewan"),C123*0.08,0))</f>
        <v>4659.535566947925</v>
      </c>
      <c r="D124" s="8"/>
      <c r="E124" s="8"/>
      <c r="F124" s="24"/>
      <c r="G124" s="8"/>
      <c r="H124" s="7" t="s">
        <v>194</v>
      </c>
    </row>
    <row r="125" spans="1:8" ht="15" customHeight="1" x14ac:dyDescent="0.2">
      <c r="A125" s="8"/>
      <c r="B125" s="8" t="s">
        <v>195</v>
      </c>
      <c r="C125" s="42">
        <f>F3</f>
        <v>6</v>
      </c>
      <c r="D125" s="8"/>
      <c r="E125" s="8" t="s">
        <v>196</v>
      </c>
      <c r="F125" s="13">
        <f>MIN(MAX(F3*150,F3*100),50000)</f>
        <v>900</v>
      </c>
      <c r="G125" s="8"/>
      <c r="H125" s="8"/>
    </row>
    <row r="126" spans="1:8" ht="15" customHeight="1" x14ac:dyDescent="0.2">
      <c r="A126" s="8"/>
      <c r="B126" s="8"/>
      <c r="C126" s="8"/>
      <c r="D126" s="8"/>
      <c r="E126" s="8"/>
      <c r="F126" s="8"/>
      <c r="G126" s="8"/>
      <c r="H126" s="8"/>
    </row>
    <row r="127" spans="1:8" ht="15" customHeight="1" x14ac:dyDescent="0.2">
      <c r="A127" s="8"/>
      <c r="B127" s="2" t="s">
        <v>197</v>
      </c>
      <c r="C127" s="2"/>
      <c r="D127" s="2"/>
      <c r="E127" s="2"/>
      <c r="F127" s="2"/>
      <c r="G127" s="8"/>
      <c r="H127" s="8"/>
    </row>
    <row r="128" spans="1:8" ht="15" customHeight="1" x14ac:dyDescent="0.2">
      <c r="A128" s="8"/>
      <c r="B128" s="8" t="s">
        <v>198</v>
      </c>
      <c r="C128" s="16">
        <f>F116+C123</f>
        <v>1186032.5264851858</v>
      </c>
      <c r="D128" s="8"/>
      <c r="E128" s="8" t="s">
        <v>199</v>
      </c>
      <c r="F128" s="13">
        <f>C128*F114/12</f>
        <v>5115.0411737515815</v>
      </c>
      <c r="G128" s="8"/>
      <c r="H128" s="8"/>
    </row>
    <row r="129" spans="1:8" ht="15" customHeight="1" x14ac:dyDescent="0.2">
      <c r="A129" s="8"/>
      <c r="B129" s="8" t="s">
        <v>200</v>
      </c>
      <c r="C129" s="13">
        <f>F128*12</f>
        <v>61380.494085018974</v>
      </c>
      <c r="D129" s="8"/>
      <c r="E129" s="8" t="s">
        <v>201</v>
      </c>
      <c r="F129" s="31">
        <f>IFERROR(C110/C129,0)</f>
        <v>1.2487992315081655</v>
      </c>
      <c r="G129" s="8"/>
      <c r="H129" s="8"/>
    </row>
    <row r="131" spans="1:8" ht="15" customHeight="1" x14ac:dyDescent="0.2">
      <c r="B131" s="2" t="s">
        <v>202</v>
      </c>
      <c r="C131" s="2"/>
      <c r="D131" s="2"/>
      <c r="E131" s="2"/>
      <c r="F131" s="2"/>
    </row>
    <row r="132" spans="1:8" ht="15" customHeight="1" x14ac:dyDescent="0.2">
      <c r="B132" s="8" t="s">
        <v>203</v>
      </c>
      <c r="C132" s="41">
        <f>C81</f>
        <v>696187.14370349492</v>
      </c>
      <c r="H132" s="7" t="s">
        <v>204</v>
      </c>
    </row>
    <row r="133" spans="1:8" ht="15" customHeight="1" x14ac:dyDescent="0.2">
      <c r="B133" s="8" t="s">
        <v>137</v>
      </c>
      <c r="C133" s="43">
        <f>C82</f>
        <v>-7396.9884018496341</v>
      </c>
    </row>
    <row r="134" spans="1:8" ht="15" customHeight="1" x14ac:dyDescent="0.2">
      <c r="B134" s="8" t="s">
        <v>205</v>
      </c>
      <c r="C134" s="13">
        <f>F116-C132+C133</f>
        <v>435736.25837033836</v>
      </c>
      <c r="H134" s="7" t="s">
        <v>206</v>
      </c>
    </row>
    <row r="135" spans="1:8" ht="15" customHeight="1" x14ac:dyDescent="0.2">
      <c r="B135" s="8" t="s">
        <v>207</v>
      </c>
      <c r="C135" s="36">
        <v>-3000</v>
      </c>
    </row>
    <row r="136" spans="1:8" ht="15" customHeight="1" x14ac:dyDescent="0.2">
      <c r="B136" s="8" t="s">
        <v>127</v>
      </c>
      <c r="C136" s="34">
        <f>-ABS(C124)</f>
        <v>-4659.535566947925</v>
      </c>
    </row>
    <row r="137" spans="1:8" ht="15" customHeight="1" x14ac:dyDescent="0.2">
      <c r="B137" s="8" t="s">
        <v>208</v>
      </c>
      <c r="C137" s="34">
        <f>-ABS(F125)</f>
        <v>-900</v>
      </c>
    </row>
    <row r="138" spans="1:8" ht="15" customHeight="1" x14ac:dyDescent="0.2">
      <c r="B138" s="29" t="s">
        <v>209</v>
      </c>
      <c r="C138" s="19">
        <f>C134+C135+C136+C137</f>
        <v>427176.72280339041</v>
      </c>
    </row>
    <row r="139" spans="1:8" ht="15" customHeight="1" x14ac:dyDescent="0.2">
      <c r="B139" s="8" t="s">
        <v>210</v>
      </c>
      <c r="C139" s="31">
        <f>IFERROR(C138/C94,0)</f>
        <v>0.86283367047137716</v>
      </c>
    </row>
  </sheetData>
  <mergeCells count="22">
    <mergeCell ref="B127:F127"/>
    <mergeCell ref="B131:F131"/>
    <mergeCell ref="B99:F99"/>
    <mergeCell ref="B100:F100"/>
    <mergeCell ref="B108:F108"/>
    <mergeCell ref="B112:F112"/>
    <mergeCell ref="B119:F119"/>
    <mergeCell ref="B60:F60"/>
    <mergeCell ref="B65:F65"/>
    <mergeCell ref="B70:F70"/>
    <mergeCell ref="B77:F77"/>
    <mergeCell ref="B93:F93"/>
    <mergeCell ref="B33:F33"/>
    <mergeCell ref="B34:C34"/>
    <mergeCell ref="E34:F34"/>
    <mergeCell ref="B42:F42"/>
    <mergeCell ref="B51:F51"/>
    <mergeCell ref="B1:F1"/>
    <mergeCell ref="B2:F2"/>
    <mergeCell ref="B9:F9"/>
    <mergeCell ref="B17:F17"/>
    <mergeCell ref="B26:F26"/>
  </mergeCells>
  <dataValidations count="4">
    <dataValidation type="list" showInputMessage="1" showErrorMessage="1" errorTitle="Programme invalide" error="Choisir MLI Select ou MLI Market" promptTitle="Programme SCHL" prompt="Sélectionner le programme SCHL" sqref="C35 C101" xr:uid="{00000000-0002-0000-0000-000000000000}">
      <formula1>"MLI Select,MLI Market"</formula1>
      <formula2>0</formula2>
    </dataValidation>
    <dataValidation type="list" showInputMessage="1" showErrorMessage="1" errorTitle="Type invalide" error="Choisir Standard Rental ou Other Shelter Models" promptTitle="Type de bâtiment" prompt="Sélectionner le type de bâtiment" sqref="C36 C102" xr:uid="{00000000-0002-0000-0000-000001000000}">
      <formula1>"Standard Rental,Other Shelter Models"</formula1>
      <formula2>0</formula2>
    </dataValidation>
    <dataValidation type="list" showInputMessage="1" showErrorMessage="1" promptTitle="But du prêt" prompt="Sélectionner le but du prêt" sqref="C37 C103" xr:uid="{00000000-0002-0000-0000-000002000000}">
      <formula1>"Purchase / Refinance,Construction Financing"</formula1>
      <formula2>0</formula2>
    </dataValidation>
    <dataValidation type="list" showInputMessage="1" showErrorMessage="1" promptTitle="Province" prompt="Sélectionner la province" sqref="C56" xr:uid="{00000000-0002-0000-0000-000003000000}">
      <formula1>"Quebec,Ontario,Manitoba,Saskatchewan,Alberta,British Columbia,Other"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682B4"/>
  </sheetPr>
  <dimension ref="B1:F36"/>
  <sheetViews>
    <sheetView zoomScaleNormal="100" workbookViewId="0"/>
  </sheetViews>
  <sheetFormatPr baseColWidth="10" defaultColWidth="8.6640625" defaultRowHeight="15" x14ac:dyDescent="0.2"/>
  <cols>
    <col min="1" max="1" width="2.5" customWidth="1"/>
    <col min="2" max="2" width="30" customWidth="1"/>
    <col min="3" max="4" width="18" customWidth="1"/>
    <col min="5" max="5" width="20" customWidth="1"/>
    <col min="6" max="6" width="18" customWidth="1"/>
  </cols>
  <sheetData>
    <row r="1" spans="2:6" ht="15" customHeight="1" x14ac:dyDescent="0.2">
      <c r="B1" s="6" t="s">
        <v>211</v>
      </c>
      <c r="C1" s="6"/>
      <c r="D1" s="6"/>
      <c r="E1" s="6"/>
      <c r="F1" s="6"/>
    </row>
    <row r="2" spans="2:6" ht="15" customHeight="1" x14ac:dyDescent="0.2">
      <c r="B2" s="7" t="s">
        <v>212</v>
      </c>
    </row>
    <row r="4" spans="2:6" ht="15" customHeight="1" x14ac:dyDescent="0.2">
      <c r="B4" s="1" t="s">
        <v>213</v>
      </c>
      <c r="C4" s="1"/>
      <c r="D4" s="1"/>
      <c r="E4" s="1"/>
      <c r="F4" s="1"/>
    </row>
    <row r="5" spans="2:6" ht="15" customHeight="1" x14ac:dyDescent="0.2">
      <c r="B5" s="45" t="s">
        <v>214</v>
      </c>
      <c r="C5" s="45" t="s">
        <v>215</v>
      </c>
      <c r="D5" s="45" t="s">
        <v>216</v>
      </c>
      <c r="E5" s="45" t="s">
        <v>217</v>
      </c>
      <c r="F5" s="45" t="s">
        <v>218</v>
      </c>
    </row>
    <row r="6" spans="2:6" ht="15" customHeight="1" x14ac:dyDescent="0.2">
      <c r="B6" s="46" t="s">
        <v>59</v>
      </c>
      <c r="C6" s="46" t="s">
        <v>219</v>
      </c>
      <c r="D6" s="46" t="s">
        <v>220</v>
      </c>
      <c r="E6" s="46" t="s">
        <v>221</v>
      </c>
      <c r="F6" s="46" t="s">
        <v>222</v>
      </c>
    </row>
    <row r="7" spans="2:6" ht="15" customHeight="1" x14ac:dyDescent="0.2">
      <c r="B7" s="46" t="s">
        <v>223</v>
      </c>
      <c r="C7" s="46" t="s">
        <v>224</v>
      </c>
      <c r="D7" s="46" t="s">
        <v>225</v>
      </c>
      <c r="E7" s="46" t="s">
        <v>226</v>
      </c>
      <c r="F7" s="46" t="s">
        <v>227</v>
      </c>
    </row>
    <row r="8" spans="2:6" ht="15" customHeight="1" x14ac:dyDescent="0.2">
      <c r="B8" s="46" t="s">
        <v>228</v>
      </c>
      <c r="C8" s="46" t="s">
        <v>229</v>
      </c>
      <c r="D8" s="46" t="s">
        <v>230</v>
      </c>
      <c r="E8" s="46" t="s">
        <v>226</v>
      </c>
      <c r="F8" s="46" t="s">
        <v>231</v>
      </c>
    </row>
    <row r="9" spans="2:6" ht="15" customHeight="1" x14ac:dyDescent="0.2">
      <c r="B9" s="46" t="s">
        <v>232</v>
      </c>
      <c r="C9" s="46" t="s">
        <v>233</v>
      </c>
      <c r="D9" s="46" t="s">
        <v>234</v>
      </c>
      <c r="E9" s="46" t="s">
        <v>235</v>
      </c>
      <c r="F9" s="46" t="s">
        <v>236</v>
      </c>
    </row>
    <row r="10" spans="2:6" ht="15" customHeight="1" x14ac:dyDescent="0.2">
      <c r="B10" s="7" t="s">
        <v>237</v>
      </c>
    </row>
    <row r="12" spans="2:6" ht="15" customHeight="1" x14ac:dyDescent="0.2">
      <c r="B12" s="1" t="s">
        <v>238</v>
      </c>
      <c r="C12" s="1"/>
      <c r="D12" s="1"/>
      <c r="E12" s="1"/>
      <c r="F12" s="1"/>
    </row>
    <row r="13" spans="2:6" ht="15" customHeight="1" x14ac:dyDescent="0.2">
      <c r="B13" s="45" t="s">
        <v>239</v>
      </c>
      <c r="C13" s="45" t="s">
        <v>240</v>
      </c>
      <c r="D13" s="45" t="s">
        <v>241</v>
      </c>
      <c r="E13" s="45" t="s">
        <v>242</v>
      </c>
      <c r="F13" s="45" t="s">
        <v>243</v>
      </c>
    </row>
    <row r="14" spans="2:6" ht="15" customHeight="1" x14ac:dyDescent="0.2">
      <c r="B14" s="46" t="s">
        <v>59</v>
      </c>
      <c r="C14" s="46" t="s">
        <v>63</v>
      </c>
      <c r="D14" s="46" t="s">
        <v>244</v>
      </c>
      <c r="E14" s="46" t="s">
        <v>245</v>
      </c>
      <c r="F14" s="46" t="s">
        <v>246</v>
      </c>
    </row>
    <row r="15" spans="2:6" ht="15" customHeight="1" x14ac:dyDescent="0.2">
      <c r="B15" s="46" t="s">
        <v>59</v>
      </c>
      <c r="C15" s="46" t="s">
        <v>247</v>
      </c>
      <c r="D15" s="46" t="s">
        <v>244</v>
      </c>
      <c r="E15" s="46" t="s">
        <v>245</v>
      </c>
      <c r="F15" s="46" t="s">
        <v>248</v>
      </c>
    </row>
    <row r="16" spans="2:6" ht="15" customHeight="1" x14ac:dyDescent="0.2">
      <c r="B16" s="46" t="s">
        <v>249</v>
      </c>
      <c r="C16" s="46" t="s">
        <v>63</v>
      </c>
      <c r="D16" s="46" t="s">
        <v>250</v>
      </c>
      <c r="E16" s="46" t="s">
        <v>250</v>
      </c>
      <c r="F16" s="46" t="s">
        <v>251</v>
      </c>
    </row>
    <row r="17" spans="2:6" ht="15" customHeight="1" x14ac:dyDescent="0.2">
      <c r="B17" s="46" t="s">
        <v>249</v>
      </c>
      <c r="C17" s="46" t="s">
        <v>247</v>
      </c>
      <c r="D17" s="46" t="s">
        <v>245</v>
      </c>
      <c r="E17" s="46" t="s">
        <v>245</v>
      </c>
      <c r="F17" s="46" t="s">
        <v>251</v>
      </c>
    </row>
    <row r="19" spans="2:6" ht="15" customHeight="1" x14ac:dyDescent="0.2">
      <c r="B19" s="1" t="s">
        <v>252</v>
      </c>
      <c r="C19" s="1"/>
      <c r="D19" s="1"/>
      <c r="E19" s="1"/>
      <c r="F19" s="1"/>
    </row>
    <row r="20" spans="2:6" ht="15" customHeight="1" x14ac:dyDescent="0.2">
      <c r="B20" s="45" t="s">
        <v>253</v>
      </c>
      <c r="C20" s="45" t="s">
        <v>254</v>
      </c>
      <c r="D20" s="45" t="s">
        <v>255</v>
      </c>
    </row>
    <row r="21" spans="2:6" ht="15" customHeight="1" x14ac:dyDescent="0.2">
      <c r="B21" s="46" t="s">
        <v>256</v>
      </c>
      <c r="C21" s="46" t="s">
        <v>257</v>
      </c>
      <c r="D21" s="46" t="s">
        <v>258</v>
      </c>
    </row>
    <row r="22" spans="2:6" ht="15" customHeight="1" x14ac:dyDescent="0.2">
      <c r="B22" s="46" t="s">
        <v>259</v>
      </c>
      <c r="C22" s="46" t="s">
        <v>260</v>
      </c>
      <c r="D22" s="46" t="s">
        <v>261</v>
      </c>
    </row>
    <row r="23" spans="2:6" ht="15" customHeight="1" x14ac:dyDescent="0.2">
      <c r="B23" s="46" t="s">
        <v>262</v>
      </c>
      <c r="C23" s="46" t="s">
        <v>263</v>
      </c>
      <c r="D23" s="46" t="s">
        <v>264</v>
      </c>
    </row>
    <row r="24" spans="2:6" ht="15" customHeight="1" x14ac:dyDescent="0.2">
      <c r="B24" s="46" t="s">
        <v>225</v>
      </c>
      <c r="C24" s="46" t="s">
        <v>265</v>
      </c>
      <c r="D24" s="46" t="s">
        <v>266</v>
      </c>
    </row>
    <row r="25" spans="2:6" ht="15" customHeight="1" x14ac:dyDescent="0.2">
      <c r="B25" s="46" t="s">
        <v>230</v>
      </c>
      <c r="C25" s="46" t="s">
        <v>267</v>
      </c>
      <c r="D25" s="46" t="s">
        <v>268</v>
      </c>
    </row>
    <row r="26" spans="2:6" ht="15" customHeight="1" x14ac:dyDescent="0.2">
      <c r="B26" s="46" t="s">
        <v>234</v>
      </c>
      <c r="C26" s="46" t="s">
        <v>269</v>
      </c>
      <c r="D26" s="46" t="s">
        <v>270</v>
      </c>
    </row>
    <row r="28" spans="2:6" ht="15" customHeight="1" x14ac:dyDescent="0.2">
      <c r="B28" s="1" t="s">
        <v>271</v>
      </c>
      <c r="C28" s="1"/>
      <c r="D28" s="1"/>
      <c r="E28" s="1"/>
      <c r="F28" s="1"/>
    </row>
    <row r="29" spans="2:6" ht="15" customHeight="1" x14ac:dyDescent="0.2">
      <c r="B29" s="45" t="s">
        <v>272</v>
      </c>
      <c r="C29" s="45" t="s">
        <v>273</v>
      </c>
      <c r="D29" s="45" t="s">
        <v>274</v>
      </c>
      <c r="E29" s="45" t="s">
        <v>275</v>
      </c>
    </row>
    <row r="30" spans="2:6" ht="15" customHeight="1" x14ac:dyDescent="0.2">
      <c r="B30" s="46" t="s">
        <v>276</v>
      </c>
      <c r="C30" s="46" t="s">
        <v>277</v>
      </c>
      <c r="D30" s="46" t="s">
        <v>278</v>
      </c>
      <c r="E30" s="46" t="s">
        <v>279</v>
      </c>
    </row>
    <row r="31" spans="2:6" ht="15" customHeight="1" x14ac:dyDescent="0.2">
      <c r="B31" s="46" t="s">
        <v>280</v>
      </c>
      <c r="C31" s="46" t="s">
        <v>281</v>
      </c>
      <c r="D31" s="46" t="s">
        <v>282</v>
      </c>
      <c r="E31" s="46" t="s">
        <v>279</v>
      </c>
    </row>
    <row r="32" spans="2:6" ht="15" customHeight="1" x14ac:dyDescent="0.2">
      <c r="B32" s="46" t="s">
        <v>283</v>
      </c>
      <c r="C32" s="46" t="s">
        <v>284</v>
      </c>
      <c r="D32" s="46" t="s">
        <v>285</v>
      </c>
      <c r="E32" s="46" t="s">
        <v>279</v>
      </c>
    </row>
    <row r="33" spans="2:5" ht="15" customHeight="1" x14ac:dyDescent="0.2">
      <c r="B33" s="46" t="s">
        <v>286</v>
      </c>
      <c r="C33" s="46" t="s">
        <v>287</v>
      </c>
      <c r="D33" s="46" t="s">
        <v>288</v>
      </c>
      <c r="E33" s="46" t="s">
        <v>279</v>
      </c>
    </row>
    <row r="34" spans="2:5" ht="15" customHeight="1" x14ac:dyDescent="0.2">
      <c r="B34" s="46" t="s">
        <v>289</v>
      </c>
      <c r="C34" s="46" t="s">
        <v>290</v>
      </c>
      <c r="D34" s="46" t="s">
        <v>291</v>
      </c>
      <c r="E34" s="46" t="s">
        <v>279</v>
      </c>
    </row>
    <row r="35" spans="2:5" ht="15" customHeight="1" x14ac:dyDescent="0.2">
      <c r="B35" s="46" t="s">
        <v>292</v>
      </c>
      <c r="C35" s="46" t="s">
        <v>293</v>
      </c>
      <c r="D35" s="46" t="s">
        <v>294</v>
      </c>
      <c r="E35" s="46" t="s">
        <v>295</v>
      </c>
    </row>
    <row r="36" spans="2:5" ht="15" customHeight="1" x14ac:dyDescent="0.2">
      <c r="B36" s="46" t="s">
        <v>296</v>
      </c>
      <c r="C36" s="46" t="s">
        <v>297</v>
      </c>
      <c r="D36" s="46" t="s">
        <v>298</v>
      </c>
      <c r="E36" s="46" t="s">
        <v>295</v>
      </c>
    </row>
  </sheetData>
  <mergeCells count="5">
    <mergeCell ref="B1:F1"/>
    <mergeCell ref="B4:F4"/>
    <mergeCell ref="B12:F12"/>
    <mergeCell ref="B19:F19"/>
    <mergeCell ref="B28:F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4513"/>
  </sheetPr>
  <dimension ref="B1:B138"/>
  <sheetViews>
    <sheetView zoomScaleNormal="100" workbookViewId="0">
      <selection activeCell="C18" sqref="C18"/>
    </sheetView>
  </sheetViews>
  <sheetFormatPr baseColWidth="10" defaultColWidth="8.6640625" defaultRowHeight="15" x14ac:dyDescent="0.2"/>
  <cols>
    <col min="1" max="1" width="2.5" customWidth="1"/>
    <col min="2" max="2" width="80" customWidth="1"/>
  </cols>
  <sheetData>
    <row r="1" spans="2:2" ht="15" customHeight="1" x14ac:dyDescent="0.2">
      <c r="B1" s="47" t="s">
        <v>299</v>
      </c>
    </row>
    <row r="3" spans="2:2" ht="15" customHeight="1" x14ac:dyDescent="0.2">
      <c r="B3" s="44" t="s">
        <v>300</v>
      </c>
    </row>
    <row r="4" spans="2:2" ht="15" customHeight="1" x14ac:dyDescent="0.2">
      <c r="B4" s="48" t="s">
        <v>301</v>
      </c>
    </row>
    <row r="5" spans="2:2" ht="15" customHeight="1" x14ac:dyDescent="0.2">
      <c r="B5" s="48" t="s">
        <v>302</v>
      </c>
    </row>
    <row r="6" spans="2:2" ht="15" customHeight="1" x14ac:dyDescent="0.2">
      <c r="B6" s="48" t="s">
        <v>303</v>
      </c>
    </row>
    <row r="8" spans="2:2" ht="15" customHeight="1" x14ac:dyDescent="0.2">
      <c r="B8" s="44" t="s">
        <v>304</v>
      </c>
    </row>
    <row r="9" spans="2:2" ht="15" customHeight="1" x14ac:dyDescent="0.2">
      <c r="B9" s="48" t="s">
        <v>305</v>
      </c>
    </row>
    <row r="10" spans="2:2" ht="15" customHeight="1" x14ac:dyDescent="0.2">
      <c r="B10" s="48" t="s">
        <v>306</v>
      </c>
    </row>
    <row r="12" spans="2:2" ht="15" customHeight="1" x14ac:dyDescent="0.2">
      <c r="B12" s="44" t="s">
        <v>307</v>
      </c>
    </row>
    <row r="13" spans="2:2" ht="15" customHeight="1" x14ac:dyDescent="0.2">
      <c r="B13" s="48" t="s">
        <v>308</v>
      </c>
    </row>
    <row r="15" spans="2:2" ht="15" customHeight="1" x14ac:dyDescent="0.2">
      <c r="B15" s="44" t="s">
        <v>309</v>
      </c>
    </row>
    <row r="16" spans="2:2" ht="15" customHeight="1" x14ac:dyDescent="0.2">
      <c r="B16" s="48" t="s">
        <v>310</v>
      </c>
    </row>
    <row r="17" spans="2:2" ht="15" customHeight="1" x14ac:dyDescent="0.2">
      <c r="B17" s="48" t="s">
        <v>311</v>
      </c>
    </row>
    <row r="18" spans="2:2" ht="15" customHeight="1" x14ac:dyDescent="0.2">
      <c r="B18" s="48" t="s">
        <v>312</v>
      </c>
    </row>
    <row r="19" spans="2:2" ht="15" customHeight="1" x14ac:dyDescent="0.2">
      <c r="B19" s="48" t="s">
        <v>313</v>
      </c>
    </row>
    <row r="21" spans="2:2" ht="15" customHeight="1" x14ac:dyDescent="0.2">
      <c r="B21" s="44" t="s">
        <v>314</v>
      </c>
    </row>
    <row r="22" spans="2:2" ht="15" customHeight="1" x14ac:dyDescent="0.2">
      <c r="B22" s="48" t="s">
        <v>315</v>
      </c>
    </row>
    <row r="23" spans="2:2" ht="15" customHeight="1" x14ac:dyDescent="0.2">
      <c r="B23" s="48" t="s">
        <v>316</v>
      </c>
    </row>
    <row r="25" spans="2:2" ht="15" customHeight="1" x14ac:dyDescent="0.2">
      <c r="B25" s="44" t="s">
        <v>317</v>
      </c>
    </row>
    <row r="26" spans="2:2" ht="15" customHeight="1" x14ac:dyDescent="0.2">
      <c r="B26" s="48" t="s">
        <v>318</v>
      </c>
    </row>
    <row r="27" spans="2:2" ht="15" customHeight="1" x14ac:dyDescent="0.2">
      <c r="B27" s="48" t="s">
        <v>319</v>
      </c>
    </row>
    <row r="28" spans="2:2" ht="15" customHeight="1" x14ac:dyDescent="0.2">
      <c r="B28" s="48" t="s">
        <v>320</v>
      </c>
    </row>
    <row r="30" spans="2:2" ht="15" customHeight="1" x14ac:dyDescent="0.2">
      <c r="B30" s="44" t="s">
        <v>321</v>
      </c>
    </row>
    <row r="31" spans="2:2" ht="15" customHeight="1" x14ac:dyDescent="0.2">
      <c r="B31" s="48" t="s">
        <v>322</v>
      </c>
    </row>
    <row r="32" spans="2:2" ht="15" customHeight="1" x14ac:dyDescent="0.2">
      <c r="B32" s="48" t="s">
        <v>323</v>
      </c>
    </row>
    <row r="33" spans="2:2" ht="15" customHeight="1" x14ac:dyDescent="0.2">
      <c r="B33" s="48" t="s">
        <v>324</v>
      </c>
    </row>
    <row r="35" spans="2:2" ht="15" customHeight="1" x14ac:dyDescent="0.2">
      <c r="B35" s="44" t="s">
        <v>325</v>
      </c>
    </row>
    <row r="36" spans="2:2" ht="15" customHeight="1" x14ac:dyDescent="0.2">
      <c r="B36" s="48" t="s">
        <v>326</v>
      </c>
    </row>
    <row r="37" spans="2:2" ht="15" customHeight="1" x14ac:dyDescent="0.2">
      <c r="B37" s="48" t="s">
        <v>327</v>
      </c>
    </row>
    <row r="38" spans="2:2" ht="15" customHeight="1" x14ac:dyDescent="0.2">
      <c r="B38" s="48" t="s">
        <v>328</v>
      </c>
    </row>
    <row r="39" spans="2:2" ht="15" customHeight="1" x14ac:dyDescent="0.2">
      <c r="B39" s="48" t="s">
        <v>329</v>
      </c>
    </row>
    <row r="40" spans="2:2" ht="15" customHeight="1" x14ac:dyDescent="0.2">
      <c r="B40" s="48" t="s">
        <v>330</v>
      </c>
    </row>
    <row r="42" spans="2:2" ht="15" customHeight="1" x14ac:dyDescent="0.2">
      <c r="B42" s="44" t="s">
        <v>331</v>
      </c>
    </row>
    <row r="43" spans="2:2" ht="15" customHeight="1" x14ac:dyDescent="0.2">
      <c r="B43" s="48" t="s">
        <v>332</v>
      </c>
    </row>
    <row r="44" spans="2:2" ht="15" customHeight="1" x14ac:dyDescent="0.2">
      <c r="B44" s="48" t="s">
        <v>333</v>
      </c>
    </row>
    <row r="46" spans="2:2" ht="15" customHeight="1" x14ac:dyDescent="0.2">
      <c r="B46" s="44" t="s">
        <v>334</v>
      </c>
    </row>
    <row r="47" spans="2:2" ht="15" customHeight="1" x14ac:dyDescent="0.2">
      <c r="B47" s="48" t="s">
        <v>335</v>
      </c>
    </row>
    <row r="48" spans="2:2" ht="15" customHeight="1" x14ac:dyDescent="0.2">
      <c r="B48" s="48" t="s">
        <v>336</v>
      </c>
    </row>
    <row r="49" spans="2:2" ht="15" customHeight="1" x14ac:dyDescent="0.2">
      <c r="B49" s="48" t="s">
        <v>337</v>
      </c>
    </row>
    <row r="50" spans="2:2" ht="15" customHeight="1" x14ac:dyDescent="0.2">
      <c r="B50" s="48" t="s">
        <v>338</v>
      </c>
    </row>
    <row r="52" spans="2:2" ht="15" customHeight="1" x14ac:dyDescent="0.2">
      <c r="B52" s="44" t="s">
        <v>339</v>
      </c>
    </row>
    <row r="53" spans="2:2" ht="15" customHeight="1" x14ac:dyDescent="0.2">
      <c r="B53" s="48" t="s">
        <v>340</v>
      </c>
    </row>
    <row r="54" spans="2:2" ht="15" customHeight="1" x14ac:dyDescent="0.2">
      <c r="B54" s="48" t="s">
        <v>341</v>
      </c>
    </row>
    <row r="56" spans="2:2" ht="15" customHeight="1" x14ac:dyDescent="0.2">
      <c r="B56" s="44" t="s">
        <v>342</v>
      </c>
    </row>
    <row r="57" spans="2:2" ht="15" customHeight="1" x14ac:dyDescent="0.2">
      <c r="B57" s="49" t="s">
        <v>343</v>
      </c>
    </row>
    <row r="58" spans="2:2" ht="15" customHeight="1" x14ac:dyDescent="0.2">
      <c r="B58" s="49" t="s">
        <v>344</v>
      </c>
    </row>
    <row r="59" spans="2:2" ht="15" customHeight="1" x14ac:dyDescent="0.2">
      <c r="B59" s="49" t="s">
        <v>345</v>
      </c>
    </row>
    <row r="60" spans="2:2" ht="15" customHeight="1" x14ac:dyDescent="0.2">
      <c r="B60" s="49" t="s">
        <v>346</v>
      </c>
    </row>
    <row r="61" spans="2:2" ht="15" customHeight="1" x14ac:dyDescent="0.2">
      <c r="B61" s="49" t="s">
        <v>347</v>
      </c>
    </row>
    <row r="63" spans="2:2" ht="15" customHeight="1" x14ac:dyDescent="0.2">
      <c r="B63" s="44" t="s">
        <v>348</v>
      </c>
    </row>
    <row r="64" spans="2:2" ht="15" customHeight="1" x14ac:dyDescent="0.2">
      <c r="B64" s="48" t="s">
        <v>349</v>
      </c>
    </row>
    <row r="65" spans="2:2" ht="15" customHeight="1" x14ac:dyDescent="0.2">
      <c r="B65" s="48" t="s">
        <v>350</v>
      </c>
    </row>
    <row r="66" spans="2:2" ht="15" customHeight="1" x14ac:dyDescent="0.2">
      <c r="B66" s="48" t="s">
        <v>351</v>
      </c>
    </row>
    <row r="67" spans="2:2" ht="15" customHeight="1" x14ac:dyDescent="0.2">
      <c r="B67" s="48" t="s">
        <v>352</v>
      </c>
    </row>
    <row r="68" spans="2:2" ht="15" customHeight="1" x14ac:dyDescent="0.2">
      <c r="B68" s="48" t="s">
        <v>350</v>
      </c>
    </row>
    <row r="69" spans="2:2" ht="15" customHeight="1" x14ac:dyDescent="0.2">
      <c r="B69" s="48" t="s">
        <v>353</v>
      </c>
    </row>
    <row r="70" spans="2:2" ht="15" customHeight="1" x14ac:dyDescent="0.2">
      <c r="B70" s="48" t="s">
        <v>354</v>
      </c>
    </row>
    <row r="71" spans="2:2" ht="15" customHeight="1" x14ac:dyDescent="0.2">
      <c r="B71" s="48" t="s">
        <v>350</v>
      </c>
    </row>
    <row r="72" spans="2:2" ht="15" customHeight="1" x14ac:dyDescent="0.2">
      <c r="B72" s="48" t="s">
        <v>355</v>
      </c>
    </row>
    <row r="73" spans="2:2" ht="15" customHeight="1" x14ac:dyDescent="0.2">
      <c r="B73" s="48" t="s">
        <v>356</v>
      </c>
    </row>
    <row r="74" spans="2:2" ht="15" customHeight="1" x14ac:dyDescent="0.2">
      <c r="B74" s="48" t="s">
        <v>357</v>
      </c>
    </row>
    <row r="75" spans="2:2" ht="15" customHeight="1" x14ac:dyDescent="0.2">
      <c r="B75" s="48" t="s">
        <v>350</v>
      </c>
    </row>
    <row r="76" spans="2:2" ht="15" customHeight="1" x14ac:dyDescent="0.2">
      <c r="B76" s="48" t="s">
        <v>358</v>
      </c>
    </row>
    <row r="78" spans="2:2" ht="15" customHeight="1" x14ac:dyDescent="0.2">
      <c r="B78" s="44" t="s">
        <v>359</v>
      </c>
    </row>
    <row r="79" spans="2:2" ht="15" customHeight="1" x14ac:dyDescent="0.2">
      <c r="B79" s="48" t="s">
        <v>360</v>
      </c>
    </row>
    <row r="80" spans="2:2" ht="15" customHeight="1" x14ac:dyDescent="0.2">
      <c r="B80" s="48" t="s">
        <v>361</v>
      </c>
    </row>
    <row r="81" spans="2:2" ht="15" customHeight="1" x14ac:dyDescent="0.2">
      <c r="B81" s="48" t="s">
        <v>350</v>
      </c>
    </row>
    <row r="82" spans="2:2" ht="15" customHeight="1" x14ac:dyDescent="0.2">
      <c r="B82" s="48" t="s">
        <v>362</v>
      </c>
    </row>
    <row r="83" spans="2:2" ht="15" customHeight="1" x14ac:dyDescent="0.2">
      <c r="B83" s="48" t="s">
        <v>363</v>
      </c>
    </row>
    <row r="84" spans="2:2" ht="15" customHeight="1" x14ac:dyDescent="0.2">
      <c r="B84" s="48" t="s">
        <v>364</v>
      </c>
    </row>
    <row r="85" spans="2:2" ht="15" customHeight="1" x14ac:dyDescent="0.2">
      <c r="B85" s="48" t="s">
        <v>350</v>
      </c>
    </row>
    <row r="86" spans="2:2" ht="15" customHeight="1" x14ac:dyDescent="0.2">
      <c r="B86" s="48" t="s">
        <v>365</v>
      </c>
    </row>
    <row r="87" spans="2:2" ht="15" customHeight="1" x14ac:dyDescent="0.2">
      <c r="B87" s="48" t="s">
        <v>366</v>
      </c>
    </row>
    <row r="88" spans="2:2" ht="15" customHeight="1" x14ac:dyDescent="0.2">
      <c r="B88" s="48" t="s">
        <v>367</v>
      </c>
    </row>
    <row r="89" spans="2:2" ht="15" customHeight="1" x14ac:dyDescent="0.2">
      <c r="B89" s="48" t="s">
        <v>350</v>
      </c>
    </row>
    <row r="90" spans="2:2" ht="15" customHeight="1" x14ac:dyDescent="0.2">
      <c r="B90" s="48" t="s">
        <v>368</v>
      </c>
    </row>
    <row r="91" spans="2:2" ht="15" customHeight="1" x14ac:dyDescent="0.2">
      <c r="B91" s="48" t="s">
        <v>369</v>
      </c>
    </row>
    <row r="92" spans="2:2" ht="15" customHeight="1" x14ac:dyDescent="0.2">
      <c r="B92" s="48" t="s">
        <v>350</v>
      </c>
    </row>
    <row r="93" spans="2:2" ht="15" customHeight="1" x14ac:dyDescent="0.2">
      <c r="B93" s="48" t="s">
        <v>370</v>
      </c>
    </row>
    <row r="94" spans="2:2" ht="15" customHeight="1" x14ac:dyDescent="0.2">
      <c r="B94" s="48" t="s">
        <v>371</v>
      </c>
    </row>
    <row r="96" spans="2:2" ht="15" customHeight="1" x14ac:dyDescent="0.2">
      <c r="B96" s="44" t="s">
        <v>372</v>
      </c>
    </row>
    <row r="97" spans="2:2" ht="15" customHeight="1" x14ac:dyDescent="0.2">
      <c r="B97" s="48" t="s">
        <v>373</v>
      </c>
    </row>
    <row r="98" spans="2:2" ht="15" customHeight="1" x14ac:dyDescent="0.2">
      <c r="B98" s="48" t="s">
        <v>350</v>
      </c>
    </row>
    <row r="99" spans="2:2" ht="15" customHeight="1" x14ac:dyDescent="0.2">
      <c r="B99" s="48" t="s">
        <v>374</v>
      </c>
    </row>
    <row r="100" spans="2:2" ht="15" customHeight="1" x14ac:dyDescent="0.2">
      <c r="B100" s="48" t="s">
        <v>375</v>
      </c>
    </row>
    <row r="101" spans="2:2" ht="15" customHeight="1" x14ac:dyDescent="0.2">
      <c r="B101" s="48" t="s">
        <v>350</v>
      </c>
    </row>
    <row r="102" spans="2:2" ht="15" customHeight="1" x14ac:dyDescent="0.2">
      <c r="B102" s="48" t="s">
        <v>376</v>
      </c>
    </row>
    <row r="103" spans="2:2" ht="15" customHeight="1" x14ac:dyDescent="0.2">
      <c r="B103" s="48" t="s">
        <v>377</v>
      </c>
    </row>
    <row r="104" spans="2:2" ht="15" customHeight="1" x14ac:dyDescent="0.2">
      <c r="B104" s="48" t="s">
        <v>378</v>
      </c>
    </row>
    <row r="105" spans="2:2" ht="15" customHeight="1" x14ac:dyDescent="0.2">
      <c r="B105" s="48" t="s">
        <v>379</v>
      </c>
    </row>
    <row r="106" spans="2:2" ht="15" customHeight="1" x14ac:dyDescent="0.2">
      <c r="B106" s="48" t="s">
        <v>350</v>
      </c>
    </row>
    <row r="107" spans="2:2" ht="15" customHeight="1" x14ac:dyDescent="0.2">
      <c r="B107" s="48" t="s">
        <v>380</v>
      </c>
    </row>
    <row r="108" spans="2:2" ht="15" customHeight="1" x14ac:dyDescent="0.2">
      <c r="B108" s="48" t="s">
        <v>381</v>
      </c>
    </row>
    <row r="110" spans="2:2" ht="15" customHeight="1" x14ac:dyDescent="0.2">
      <c r="B110" s="44" t="s">
        <v>382</v>
      </c>
    </row>
    <row r="111" spans="2:2" ht="15" customHeight="1" x14ac:dyDescent="0.2">
      <c r="B111" s="48" t="s">
        <v>383</v>
      </c>
    </row>
    <row r="112" spans="2:2" ht="15" customHeight="1" x14ac:dyDescent="0.2">
      <c r="B112" s="48" t="s">
        <v>384</v>
      </c>
    </row>
    <row r="113" spans="2:2" ht="15" customHeight="1" x14ac:dyDescent="0.2">
      <c r="B113" s="48" t="s">
        <v>350</v>
      </c>
    </row>
    <row r="114" spans="2:2" ht="15" customHeight="1" x14ac:dyDescent="0.2">
      <c r="B114" s="48" t="s">
        <v>385</v>
      </c>
    </row>
    <row r="115" spans="2:2" ht="15" customHeight="1" x14ac:dyDescent="0.2">
      <c r="B115" s="48" t="s">
        <v>386</v>
      </c>
    </row>
    <row r="116" spans="2:2" ht="15" customHeight="1" x14ac:dyDescent="0.2">
      <c r="B116" s="48" t="s">
        <v>387</v>
      </c>
    </row>
    <row r="117" spans="2:2" ht="15" customHeight="1" x14ac:dyDescent="0.2">
      <c r="B117" s="48" t="s">
        <v>388</v>
      </c>
    </row>
    <row r="118" spans="2:2" ht="15" customHeight="1" x14ac:dyDescent="0.2">
      <c r="B118" s="48" t="s">
        <v>389</v>
      </c>
    </row>
    <row r="119" spans="2:2" ht="15" customHeight="1" x14ac:dyDescent="0.2">
      <c r="B119" s="48" t="s">
        <v>350</v>
      </c>
    </row>
    <row r="120" spans="2:2" ht="15" customHeight="1" x14ac:dyDescent="0.2">
      <c r="B120" s="48" t="s">
        <v>390</v>
      </c>
    </row>
    <row r="121" spans="2:2" ht="15" customHeight="1" x14ac:dyDescent="0.2">
      <c r="B121" s="48" t="s">
        <v>391</v>
      </c>
    </row>
    <row r="122" spans="2:2" ht="15" customHeight="1" x14ac:dyDescent="0.2">
      <c r="B122" s="48" t="s">
        <v>392</v>
      </c>
    </row>
    <row r="123" spans="2:2" ht="15" customHeight="1" x14ac:dyDescent="0.2">
      <c r="B123" s="48" t="s">
        <v>393</v>
      </c>
    </row>
    <row r="124" spans="2:2" ht="15" customHeight="1" x14ac:dyDescent="0.2">
      <c r="B124" s="48" t="s">
        <v>394</v>
      </c>
    </row>
    <row r="125" spans="2:2" ht="15" customHeight="1" x14ac:dyDescent="0.2">
      <c r="B125" s="48" t="s">
        <v>350</v>
      </c>
    </row>
    <row r="126" spans="2:2" ht="15" customHeight="1" x14ac:dyDescent="0.2">
      <c r="B126" s="48" t="s">
        <v>395</v>
      </c>
    </row>
    <row r="128" spans="2:2" ht="15" customHeight="1" x14ac:dyDescent="0.2">
      <c r="B128" s="44" t="s">
        <v>396</v>
      </c>
    </row>
    <row r="129" spans="2:2" ht="15" customHeight="1" x14ac:dyDescent="0.2">
      <c r="B129" s="48" t="s">
        <v>397</v>
      </c>
    </row>
    <row r="130" spans="2:2" ht="15" customHeight="1" x14ac:dyDescent="0.2">
      <c r="B130" s="48" t="s">
        <v>350</v>
      </c>
    </row>
    <row r="131" spans="2:2" ht="15" customHeight="1" x14ac:dyDescent="0.2">
      <c r="B131" s="48" t="s">
        <v>398</v>
      </c>
    </row>
    <row r="132" spans="2:2" ht="15" customHeight="1" x14ac:dyDescent="0.2">
      <c r="B132" s="48" t="s">
        <v>399</v>
      </c>
    </row>
    <row r="133" spans="2:2" ht="15" customHeight="1" x14ac:dyDescent="0.2">
      <c r="B133" s="48" t="s">
        <v>400</v>
      </c>
    </row>
    <row r="134" spans="2:2" ht="15" customHeight="1" x14ac:dyDescent="0.2">
      <c r="B134" s="48" t="s">
        <v>401</v>
      </c>
    </row>
    <row r="135" spans="2:2" ht="15" customHeight="1" x14ac:dyDescent="0.2">
      <c r="B135" s="48" t="s">
        <v>402</v>
      </c>
    </row>
    <row r="136" spans="2:2" ht="15" customHeight="1" x14ac:dyDescent="0.2">
      <c r="B136" s="48" t="s">
        <v>403</v>
      </c>
    </row>
    <row r="137" spans="2:2" ht="15" customHeight="1" x14ac:dyDescent="0.2">
      <c r="B137" s="48" t="s">
        <v>350</v>
      </c>
    </row>
    <row r="138" spans="2:2" ht="15" customHeight="1" x14ac:dyDescent="0.2">
      <c r="B138" s="48" t="s">
        <v>404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Underwriting</vt:lpstr>
      <vt:lpstr>Règles SCHL</vt:lpstr>
      <vt:lpstr>Notes &amp; Hypothèses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julien Bérubé</cp:lastModifiedBy>
  <cp:revision>0</cp:revision>
  <dcterms:created xsi:type="dcterms:W3CDTF">2026-04-03T20:35:14Z</dcterms:created>
  <dcterms:modified xsi:type="dcterms:W3CDTF">2026-04-05T12:59:33Z</dcterms:modified>
  <dc:language>en-US</dc:language>
</cp:coreProperties>
</file>